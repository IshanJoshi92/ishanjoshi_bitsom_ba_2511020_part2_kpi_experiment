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data" sheetId="1" state="hidden" r:id="rId3"/>
    <sheet name="summary_metrics" sheetId="2" state="visible" r:id="rId4"/>
    <sheet name="hypothesis_test" sheetId="3" state="visible" r:id="rId5"/>
    <sheet name="guardrails" sheetId="4" state="visible" r:id="rId6"/>
    <sheet name="segment_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<sst xmlns="http://schemas.openxmlformats.org/spreadsheetml/2006/main" count="5695" uniqueCount="78">
  <si>
    <t xml:space="preserve">group</t>
  </si>
  <si>
    <t xml:space="preserve">land</t>
  </si>
  <si>
    <t xml:space="preserve">trial</t>
  </si>
  <si>
    <t xml:space="preserve">onbd</t>
  </si>
  <si>
    <t xml:space="preserve">conv</t>
  </si>
  <si>
    <t xml:space="preserve">rev</t>
  </si>
  <si>
    <t xml:space="preserve">supflag</t>
  </si>
  <si>
    <t xml:space="preserve">refund</t>
  </si>
  <si>
    <t xml:space="preserve">eng</t>
  </si>
  <si>
    <t xml:space="preserve">days</t>
  </si>
  <si>
    <t xml:space="preserve">region</t>
  </si>
  <si>
    <t xml:space="preserve">device</t>
  </si>
  <si>
    <t xml:space="preserve">plan</t>
  </si>
  <si>
    <t xml:space="preserve">tickets</t>
  </si>
  <si>
    <t xml:space="preserve">Control</t>
  </si>
  <si>
    <t xml:space="preserve">North</t>
  </si>
  <si>
    <t xml:space="preserve">Desktop</t>
  </si>
  <si>
    <t xml:space="preserve">Basic</t>
  </si>
  <si>
    <t xml:space="preserve">West</t>
  </si>
  <si>
    <t xml:space="preserve">Mobile</t>
  </si>
  <si>
    <t xml:space="preserve">Free</t>
  </si>
  <si>
    <t xml:space="preserve">East</t>
  </si>
  <si>
    <t xml:space="preserve">Premium</t>
  </si>
  <si>
    <t xml:space="preserve">South</t>
  </si>
  <si>
    <t xml:space="preserve">Tablet</t>
  </si>
  <si>
    <t xml:space="preserve">Unknown</t>
  </si>
  <si>
    <t xml:space="preserve">Treatment</t>
  </si>
  <si>
    <t xml:space="preserve">Control vs Treatment — Experiment Summary</t>
  </si>
  <si>
    <t xml:space="preserve">Live formulas over the data sheet. Rates are proportions; ARPU/ARPCU in revenue units.</t>
  </si>
  <si>
    <t xml:space="preserve">Metric</t>
  </si>
  <si>
    <t xml:space="preserve">Abs Diff</t>
  </si>
  <si>
    <t xml:space="preserve">Rel Diff</t>
  </si>
  <si>
    <t xml:space="preserve">User count</t>
  </si>
  <si>
    <t xml:space="preserve">Landing page visit rate</t>
  </si>
  <si>
    <t xml:space="preserve">Trial start rate</t>
  </si>
  <si>
    <t xml:space="preserve">Onboarding completion rate</t>
  </si>
  <si>
    <t xml:space="preserve">Paid conversion rate</t>
  </si>
  <si>
    <t xml:space="preserve">Avg revenue per user (ARPU)</t>
  </si>
  <si>
    <t xml:space="preserve">Avg revenue per converted user (ARPCU)</t>
  </si>
  <si>
    <t xml:space="preserve">Refund rate</t>
  </si>
  <si>
    <t xml:space="preserve">Support ticket rate (users w/ &gt;0)</t>
  </si>
  <si>
    <t xml:space="preserve">Support tickets per user</t>
  </si>
  <si>
    <t xml:space="preserve">Avg engagement score</t>
  </si>
  <si>
    <t xml:space="preserve">Avg days to convert</t>
  </si>
  <si>
    <t xml:space="preserve">Converted users (count)</t>
  </si>
  <si>
    <t xml:space="preserve">Two-Proportion Z-Test — Paid Conversion Rate</t>
  </si>
  <si>
    <t xml:space="preserve">H0: p(Treatment)=p(Control)   H1: p(Treatment)≠p(Control)   α=0.05 (two-tailed)</t>
  </si>
  <si>
    <t xml:space="preserve">Control users (n_c)</t>
  </si>
  <si>
    <t xml:space="preserve">Control conversions (x_c)</t>
  </si>
  <si>
    <t xml:space="preserve">Treatment users (n_t)</t>
  </si>
  <si>
    <t xml:space="preserve">Treatment conversions (x_t)</t>
  </si>
  <si>
    <t xml:space="preserve">p_control</t>
  </si>
  <si>
    <t xml:space="preserve">p_treatment</t>
  </si>
  <si>
    <t xml:space="preserve">Absolute uplift</t>
  </si>
  <si>
    <t xml:space="preserve">Relative uplift</t>
  </si>
  <si>
    <t xml:space="preserve">Pooled p</t>
  </si>
  <si>
    <t xml:space="preserve">Std error</t>
  </si>
  <si>
    <t xml:space="preserve">Z statistic</t>
  </si>
  <si>
    <t xml:space="preserve">P-value (two-tailed)</t>
  </si>
  <si>
    <t xml:space="preserve">Decision (α=0.05)</t>
  </si>
  <si>
    <t xml:space="preserve">Guardrail Metrics — Risk Evaluation</t>
  </si>
  <si>
    <t xml:space="preserve">A conversion win is only safe if guardrails hold. Direction matters per metric.</t>
  </si>
  <si>
    <t xml:space="preserve">Guardrail</t>
  </si>
  <si>
    <t xml:space="preserve">Change</t>
  </si>
  <si>
    <t xml:space="preserve">Risk?</t>
  </si>
  <si>
    <t xml:space="preserve">Low — stays &lt;1%</t>
  </si>
  <si>
    <t xml:space="preserve">Support ticket rate</t>
  </si>
  <si>
    <t xml:space="preserve">HIGH — nearly doubles; staffing impact</t>
  </si>
  <si>
    <t xml:space="preserve">HIGH — more load per user</t>
  </si>
  <si>
    <t xml:space="preserve">ARPCU (revenue/converted)</t>
  </si>
  <si>
    <t xml:space="preserve">MEDIUM — lower-value converts</t>
  </si>
  <si>
    <t xml:space="preserve">Positive — faster activation</t>
  </si>
  <si>
    <t xml:space="preserve">Positive — higher engagement</t>
  </si>
  <si>
    <t xml:space="preserve">Segment-Level Analysis (≥3 metrics by segment)</t>
  </si>
  <si>
    <t xml:space="preserve">Paid conversion rate by Region</t>
  </si>
  <si>
    <t xml:space="preserve">Segment</t>
  </si>
  <si>
    <t xml:space="preserve">Paid conversion rate by Device</t>
  </si>
  <si>
    <t xml:space="preserve">ARPU by Region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</si>
</sst>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+0.0%;\-0.0%"/>
    <numFmt numFmtId="167" formatCode="0.0%"/>
    <numFmt numFmtId="168" formatCode="#,##0.00"/>
    <numFmt numFmtId="169" formatCode="0.00%"/>
    <numFmt numFmtId="170" formatCode="0.000"/>
    <numFmt numFmtId="171" formatCode="0.0"/>
    <numFmt numFmtId="172" formatCode="0.0000"/>
    <numFmt numFmtId="173" formatCode="\+0.0%"/>
    <numFmt numFmtId="174" formatCode="0.00000"/>
    <numFmt numFmtId="17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rebuchet MS"/>
      <family val="0"/>
      <charset val="1"/>
    </font>
    <font>
      <sz val="10"/>
      <name val="Trebuchet MS"/>
      <family val="0"/>
      <charset val="1"/>
    </font>
    <font>
      <b val="true"/>
      <sz val="13"/>
      <color rgb="FF1C2E5B"/>
      <name val="Trebuchet MS"/>
      <family val="0"/>
      <charset val="1"/>
    </font>
    <font>
      <i val="true"/>
      <sz val="9"/>
      <name val="Trebuchet MS"/>
      <family val="0"/>
      <charset val="1"/>
    </font>
    <font>
      <b val="true"/>
      <sz val="10"/>
      <name val="Trebuchet M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2E5B"/>
        <bgColor rgb="FF333333"/>
      </patternFill>
    </fill>
    <fill>
      <patternFill patternType="solid">
        <fgColor rgb="FFDDE3F0"/>
        <bgColor rgb="FFCCFFFF"/>
      </patternFill>
    </fill>
    <fill>
      <patternFill patternType="solid">
        <fgColor rgb="FFEFC9BB"/>
        <bgColor rgb="FFF7E2B0"/>
      </patternFill>
    </fill>
    <fill>
      <patternFill patternType="solid">
        <fgColor rgb="FFF7E2B0"/>
        <bgColor rgb="FFEFC9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7E2B0"/>
      <rgbColor rgb="FF99CCFF"/>
      <rgbColor rgb="FFFF99CC"/>
      <rgbColor rgb="FFCC99FF"/>
      <rgbColor rgb="FFEFC9B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E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45.7</v>
      </c>
      <c r="K2" s="2" t="s">
        <v>15</v>
      </c>
      <c r="L2" s="2" t="s">
        <v>16</v>
      </c>
      <c r="M2" s="2" t="s">
        <v>17</v>
      </c>
      <c r="N2" s="2" t="n">
        <v>0</v>
      </c>
    </row>
    <row r="3" customFormat="false" ht="15" hidden="false" customHeight="false" outlineLevel="0" collapsed="false">
      <c r="A3" s="2" t="s">
        <v>14</v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48.6</v>
      </c>
      <c r="K3" s="2" t="s">
        <v>18</v>
      </c>
      <c r="L3" s="2" t="s">
        <v>19</v>
      </c>
      <c r="M3" s="2" t="s">
        <v>20</v>
      </c>
      <c r="N3" s="2" t="n">
        <v>0</v>
      </c>
    </row>
    <row r="4" customFormat="false" ht="15" hidden="false" customHeight="false" outlineLevel="0" collapsed="false">
      <c r="A4" s="2" t="s">
        <v>14</v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35.4</v>
      </c>
      <c r="K4" s="2" t="s">
        <v>21</v>
      </c>
      <c r="L4" s="2" t="s">
        <v>19</v>
      </c>
      <c r="M4" s="2" t="s">
        <v>22</v>
      </c>
      <c r="N4" s="2" t="n">
        <v>1</v>
      </c>
    </row>
    <row r="5" customFormat="false" ht="15" hidden="false" customHeight="false" outlineLevel="0" collapsed="false">
      <c r="A5" s="2" t="s">
        <v>14</v>
      </c>
      <c r="B5" s="2" t="n">
        <v>1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64.6</v>
      </c>
      <c r="K5" s="2" t="s">
        <v>23</v>
      </c>
      <c r="L5" s="2" t="s">
        <v>19</v>
      </c>
      <c r="M5" s="2" t="s">
        <v>17</v>
      </c>
      <c r="N5" s="2" t="n">
        <v>0</v>
      </c>
    </row>
    <row r="6" customFormat="false" ht="15" hidden="false" customHeight="false" outlineLevel="0" collapsed="false">
      <c r="A6" s="2" t="s">
        <v>14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66.6</v>
      </c>
      <c r="K6" s="2" t="s">
        <v>15</v>
      </c>
      <c r="L6" s="2" t="s">
        <v>24</v>
      </c>
      <c r="M6" s="2" t="s">
        <v>20</v>
      </c>
      <c r="N6" s="2" t="n">
        <v>0</v>
      </c>
    </row>
    <row r="7" customFormat="false" ht="15" hidden="false" customHeight="false" outlineLevel="0" collapsed="false">
      <c r="A7" s="2" t="s">
        <v>14</v>
      </c>
      <c r="B7" s="2" t="n">
        <v>1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40.8</v>
      </c>
      <c r="K7" s="2" t="s">
        <v>21</v>
      </c>
      <c r="L7" s="2" t="s">
        <v>19</v>
      </c>
      <c r="M7" s="2" t="s">
        <v>22</v>
      </c>
      <c r="N7" s="2" t="n">
        <v>0</v>
      </c>
    </row>
    <row r="8" customFormat="false" ht="15" hidden="false" customHeight="false" outlineLevel="0" collapsed="false">
      <c r="A8" s="2" t="s">
        <v>14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57.1</v>
      </c>
      <c r="K8" s="2" t="s">
        <v>21</v>
      </c>
      <c r="L8" s="2" t="s">
        <v>19</v>
      </c>
      <c r="M8" s="2" t="s">
        <v>17</v>
      </c>
      <c r="N8" s="2" t="n">
        <v>0</v>
      </c>
    </row>
    <row r="9" customFormat="false" ht="15" hidden="false" customHeight="false" outlineLevel="0" collapsed="false">
      <c r="A9" s="2" t="s">
        <v>14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36.4</v>
      </c>
      <c r="K9" s="2" t="s">
        <v>23</v>
      </c>
      <c r="L9" s="2" t="s">
        <v>19</v>
      </c>
      <c r="M9" s="2" t="s">
        <v>20</v>
      </c>
      <c r="N9" s="2" t="n">
        <v>0</v>
      </c>
    </row>
    <row r="10" customFormat="false" ht="15" hidden="false" customHeight="false" outlineLevel="0" collapsed="false">
      <c r="A10" s="2" t="s">
        <v>14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55.4</v>
      </c>
      <c r="K10" s="2" t="s">
        <v>23</v>
      </c>
      <c r="L10" s="2" t="s">
        <v>24</v>
      </c>
      <c r="M10" s="2" t="s">
        <v>17</v>
      </c>
      <c r="N10" s="2" t="n">
        <v>0</v>
      </c>
    </row>
    <row r="11" customFormat="false" ht="15" hidden="false" customHeight="false" outlineLevel="0" collapsed="false">
      <c r="A11" s="2" t="s">
        <v>14</v>
      </c>
      <c r="B11" s="2" t="n">
        <v>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57.3</v>
      </c>
      <c r="K11" s="2" t="s">
        <v>18</v>
      </c>
      <c r="L11" s="2" t="s">
        <v>16</v>
      </c>
      <c r="M11" s="2" t="s">
        <v>20</v>
      </c>
      <c r="N11" s="2" t="n">
        <v>0</v>
      </c>
    </row>
    <row r="12" customFormat="false" ht="15" hidden="false" customHeight="false" outlineLevel="0" collapsed="false">
      <c r="A12" s="2" t="s">
        <v>14</v>
      </c>
      <c r="B12" s="2" t="n">
        <v>1</v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63.6</v>
      </c>
      <c r="K12" s="2" t="s">
        <v>21</v>
      </c>
      <c r="L12" s="2" t="s">
        <v>19</v>
      </c>
      <c r="M12" s="2" t="s">
        <v>17</v>
      </c>
      <c r="N12" s="2" t="n">
        <v>0</v>
      </c>
    </row>
    <row r="13" customFormat="false" ht="15" hidden="false" customHeight="false" outlineLevel="0" collapsed="false">
      <c r="A13" s="2" t="s">
        <v>14</v>
      </c>
      <c r="B13" s="2" t="n">
        <v>1</v>
      </c>
      <c r="C13" s="2" t="n">
        <v>1</v>
      </c>
      <c r="D13" s="2" t="n">
        <v>1</v>
      </c>
      <c r="E13" s="2" t="n">
        <v>0</v>
      </c>
      <c r="F13" s="2" t="n">
        <v>0</v>
      </c>
      <c r="G13" s="2" t="n">
        <v>1</v>
      </c>
      <c r="H13" s="2" t="n">
        <v>0</v>
      </c>
      <c r="I13" s="2" t="n">
        <v>80.4</v>
      </c>
      <c r="K13" s="2" t="s">
        <v>21</v>
      </c>
      <c r="L13" s="2" t="s">
        <v>19</v>
      </c>
      <c r="M13" s="2" t="s">
        <v>22</v>
      </c>
      <c r="N13" s="2" t="n">
        <v>1</v>
      </c>
    </row>
    <row r="14" customFormat="false" ht="15" hidden="false" customHeight="false" outlineLevel="0" collapsed="false">
      <c r="A14" s="2" t="s">
        <v>14</v>
      </c>
      <c r="B14" s="2" t="n">
        <v>1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62.4</v>
      </c>
      <c r="K14" s="2" t="s">
        <v>23</v>
      </c>
      <c r="L14" s="2" t="s">
        <v>16</v>
      </c>
      <c r="M14" s="2" t="s">
        <v>17</v>
      </c>
      <c r="N14" s="2" t="n">
        <v>0</v>
      </c>
    </row>
    <row r="15" customFormat="false" ht="15" hidden="false" customHeight="false" outlineLevel="0" collapsed="false">
      <c r="A15" s="2" t="s">
        <v>14</v>
      </c>
      <c r="B15" s="2" t="n">
        <v>1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82.4</v>
      </c>
      <c r="K15" s="2" t="s">
        <v>18</v>
      </c>
      <c r="L15" s="2" t="s">
        <v>19</v>
      </c>
      <c r="M15" s="2" t="s">
        <v>17</v>
      </c>
      <c r="N15" s="2" t="n">
        <v>0</v>
      </c>
    </row>
    <row r="16" customFormat="false" ht="15" hidden="false" customHeight="false" outlineLevel="0" collapsed="false">
      <c r="A16" s="2" t="s">
        <v>14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61.2</v>
      </c>
      <c r="K16" s="2" t="s">
        <v>23</v>
      </c>
      <c r="L16" s="2" t="s">
        <v>19</v>
      </c>
      <c r="M16" s="2" t="s">
        <v>17</v>
      </c>
      <c r="N16" s="2" t="n">
        <v>0</v>
      </c>
    </row>
    <row r="17" customFormat="false" ht="15" hidden="false" customHeight="false" outlineLevel="0" collapsed="false">
      <c r="A17" s="2" t="s">
        <v>14</v>
      </c>
      <c r="B17" s="2" t="n">
        <v>1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68.9</v>
      </c>
      <c r="K17" s="2" t="s">
        <v>23</v>
      </c>
      <c r="L17" s="2" t="s">
        <v>19</v>
      </c>
      <c r="M17" s="2" t="s">
        <v>17</v>
      </c>
      <c r="N17" s="2" t="n">
        <v>0</v>
      </c>
    </row>
    <row r="18" customFormat="false" ht="15" hidden="false" customHeight="false" outlineLevel="0" collapsed="false">
      <c r="A18" s="2" t="s">
        <v>14</v>
      </c>
      <c r="B18" s="2" t="n">
        <v>1</v>
      </c>
      <c r="C18" s="2" t="n">
        <v>1</v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71.9</v>
      </c>
      <c r="K18" s="2" t="s">
        <v>21</v>
      </c>
      <c r="L18" s="2" t="s">
        <v>16</v>
      </c>
      <c r="M18" s="2" t="s">
        <v>20</v>
      </c>
      <c r="N18" s="2" t="n">
        <v>0</v>
      </c>
    </row>
    <row r="19" customFormat="false" ht="15" hidden="false" customHeight="false" outlineLevel="0" collapsed="false">
      <c r="A19" s="2" t="s">
        <v>14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50.5</v>
      </c>
      <c r="K19" s="2" t="s">
        <v>23</v>
      </c>
      <c r="L19" s="2" t="s">
        <v>16</v>
      </c>
      <c r="M19" s="2" t="s">
        <v>20</v>
      </c>
      <c r="N19" s="2" t="n">
        <v>0</v>
      </c>
    </row>
    <row r="20" customFormat="false" ht="15" hidden="false" customHeight="false" outlineLevel="0" collapsed="false">
      <c r="A20" s="2" t="s">
        <v>14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49.3</v>
      </c>
      <c r="K20" s="2" t="s">
        <v>15</v>
      </c>
      <c r="L20" s="2" t="s">
        <v>16</v>
      </c>
      <c r="M20" s="2" t="s">
        <v>17</v>
      </c>
      <c r="N20" s="2" t="n">
        <v>0</v>
      </c>
    </row>
    <row r="21" customFormat="false" ht="15" hidden="false" customHeight="false" outlineLevel="0" collapsed="false">
      <c r="A21" s="2" t="s">
        <v>14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</v>
      </c>
      <c r="H21" s="2" t="n">
        <v>0</v>
      </c>
      <c r="I21" s="2" t="n">
        <v>60.9</v>
      </c>
      <c r="K21" s="2" t="s">
        <v>18</v>
      </c>
      <c r="L21" s="2" t="s">
        <v>16</v>
      </c>
      <c r="M21" s="2" t="s">
        <v>17</v>
      </c>
      <c r="N21" s="2" t="n">
        <v>2</v>
      </c>
    </row>
    <row r="22" customFormat="false" ht="15" hidden="false" customHeight="false" outlineLevel="0" collapsed="false">
      <c r="A22" s="2" t="s">
        <v>14</v>
      </c>
      <c r="B22" s="2" t="n">
        <v>1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62.7</v>
      </c>
      <c r="K22" s="2" t="s">
        <v>21</v>
      </c>
      <c r="L22" s="2" t="s">
        <v>19</v>
      </c>
      <c r="M22" s="2" t="s">
        <v>20</v>
      </c>
      <c r="N22" s="2" t="n">
        <v>0</v>
      </c>
    </row>
    <row r="23" customFormat="false" ht="15" hidden="false" customHeight="false" outlineLevel="0" collapsed="false">
      <c r="A23" s="2" t="s">
        <v>14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52.7</v>
      </c>
      <c r="K23" s="2" t="s">
        <v>15</v>
      </c>
      <c r="L23" s="2" t="s">
        <v>16</v>
      </c>
      <c r="M23" s="2" t="s">
        <v>20</v>
      </c>
      <c r="N23" s="2" t="n">
        <v>0</v>
      </c>
    </row>
    <row r="24" customFormat="false" ht="15" hidden="false" customHeight="false" outlineLevel="0" collapsed="false">
      <c r="A24" s="2" t="s">
        <v>14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54</v>
      </c>
      <c r="K24" s="2" t="s">
        <v>15</v>
      </c>
      <c r="L24" s="2" t="s">
        <v>16</v>
      </c>
      <c r="M24" s="2" t="s">
        <v>20</v>
      </c>
      <c r="N24" s="2" t="n">
        <v>0</v>
      </c>
    </row>
    <row r="25" customFormat="false" ht="15" hidden="false" customHeight="false" outlineLevel="0" collapsed="false">
      <c r="A25" s="2" t="s">
        <v>14</v>
      </c>
      <c r="B25" s="2" t="n">
        <v>1</v>
      </c>
      <c r="C25" s="2" t="n">
        <v>1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51.6</v>
      </c>
      <c r="K25" s="2" t="s">
        <v>21</v>
      </c>
      <c r="L25" s="2" t="s">
        <v>19</v>
      </c>
      <c r="M25" s="2" t="s">
        <v>22</v>
      </c>
      <c r="N25" s="2" t="n">
        <v>0</v>
      </c>
    </row>
    <row r="26" customFormat="false" ht="15" hidden="false" customHeight="false" outlineLevel="0" collapsed="false">
      <c r="A26" s="2" t="s">
        <v>14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1</v>
      </c>
      <c r="H26" s="2" t="n">
        <v>0</v>
      </c>
      <c r="I26" s="2" t="n">
        <v>66.9</v>
      </c>
      <c r="K26" s="2" t="s">
        <v>15</v>
      </c>
      <c r="L26" s="2" t="s">
        <v>19</v>
      </c>
      <c r="M26" s="2" t="s">
        <v>22</v>
      </c>
      <c r="N26" s="2" t="n">
        <v>2</v>
      </c>
    </row>
    <row r="27" customFormat="false" ht="15" hidden="false" customHeight="false" outlineLevel="0" collapsed="false">
      <c r="A27" s="2" t="s">
        <v>14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67.4</v>
      </c>
      <c r="K27" s="2" t="s">
        <v>21</v>
      </c>
      <c r="L27" s="2" t="s">
        <v>19</v>
      </c>
      <c r="M27" s="2" t="s">
        <v>17</v>
      </c>
      <c r="N27" s="2" t="n">
        <v>0</v>
      </c>
    </row>
    <row r="28" customFormat="false" ht="15" hidden="false" customHeight="false" outlineLevel="0" collapsed="false">
      <c r="A28" s="2" t="s">
        <v>14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58.8</v>
      </c>
      <c r="K28" s="2" t="s">
        <v>15</v>
      </c>
      <c r="L28" s="2" t="s">
        <v>19</v>
      </c>
      <c r="M28" s="2" t="s">
        <v>20</v>
      </c>
      <c r="N28" s="2" t="n">
        <v>0</v>
      </c>
    </row>
    <row r="29" customFormat="false" ht="15" hidden="false" customHeight="false" outlineLevel="0" collapsed="false">
      <c r="A29" s="2" t="s">
        <v>14</v>
      </c>
      <c r="B29" s="2" t="n">
        <v>1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73.8</v>
      </c>
      <c r="K29" s="2" t="s">
        <v>23</v>
      </c>
      <c r="L29" s="2" t="s">
        <v>19</v>
      </c>
      <c r="M29" s="2" t="s">
        <v>20</v>
      </c>
      <c r="N29" s="2" t="n">
        <v>0</v>
      </c>
    </row>
    <row r="30" customFormat="false" ht="15" hidden="false" customHeight="false" outlineLevel="0" collapsed="false">
      <c r="A30" s="2" t="s">
        <v>14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60.1</v>
      </c>
      <c r="K30" s="2" t="s">
        <v>21</v>
      </c>
      <c r="L30" s="2" t="s">
        <v>24</v>
      </c>
      <c r="M30" s="2" t="s">
        <v>17</v>
      </c>
      <c r="N30" s="2" t="n">
        <v>0</v>
      </c>
    </row>
    <row r="31" customFormat="false" ht="15" hidden="false" customHeight="false" outlineLevel="0" collapsed="false">
      <c r="A31" s="2" t="s">
        <v>14</v>
      </c>
      <c r="B31" s="2" t="n">
        <v>1</v>
      </c>
      <c r="C31" s="2" t="n">
        <v>1</v>
      </c>
      <c r="D31" s="2" t="n">
        <v>1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41</v>
      </c>
      <c r="K31" s="2" t="s">
        <v>21</v>
      </c>
      <c r="L31" s="2" t="s">
        <v>19</v>
      </c>
      <c r="M31" s="2" t="s">
        <v>17</v>
      </c>
      <c r="N31" s="2" t="n">
        <v>0</v>
      </c>
    </row>
    <row r="32" customFormat="false" ht="15" hidden="false" customHeight="false" outlineLevel="0" collapsed="false">
      <c r="A32" s="2" t="s">
        <v>14</v>
      </c>
      <c r="B32" s="2" t="n">
        <v>1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80.3</v>
      </c>
      <c r="K32" s="2" t="s">
        <v>23</v>
      </c>
      <c r="L32" s="2" t="s">
        <v>19</v>
      </c>
      <c r="M32" s="2" t="s">
        <v>17</v>
      </c>
      <c r="N32" s="2" t="n">
        <v>0</v>
      </c>
    </row>
    <row r="33" customFormat="false" ht="15" hidden="false" customHeight="false" outlineLevel="0" collapsed="false">
      <c r="A33" s="2" t="s">
        <v>14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67.6</v>
      </c>
      <c r="K33" s="2" t="s">
        <v>21</v>
      </c>
      <c r="L33" s="2" t="s">
        <v>19</v>
      </c>
      <c r="M33" s="2" t="s">
        <v>20</v>
      </c>
      <c r="N33" s="2" t="n">
        <v>0</v>
      </c>
    </row>
    <row r="34" customFormat="false" ht="15" hidden="false" customHeight="false" outlineLevel="0" collapsed="false">
      <c r="A34" s="2" t="s">
        <v>14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64</v>
      </c>
      <c r="K34" s="2" t="s">
        <v>21</v>
      </c>
      <c r="L34" s="2" t="s">
        <v>16</v>
      </c>
      <c r="M34" s="2" t="s">
        <v>22</v>
      </c>
      <c r="N34" s="2" t="n">
        <v>0</v>
      </c>
    </row>
    <row r="35" customFormat="false" ht="15" hidden="false" customHeight="false" outlineLevel="0" collapsed="false">
      <c r="A35" s="2" t="s">
        <v>14</v>
      </c>
      <c r="B35" s="2" t="n">
        <v>1</v>
      </c>
      <c r="C35" s="2" t="n">
        <v>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27.2</v>
      </c>
      <c r="K35" s="2" t="s">
        <v>15</v>
      </c>
      <c r="L35" s="2" t="s">
        <v>19</v>
      </c>
      <c r="M35" s="2" t="s">
        <v>20</v>
      </c>
      <c r="N35" s="2" t="n">
        <v>0</v>
      </c>
    </row>
    <row r="36" customFormat="false" ht="15" hidden="false" customHeight="false" outlineLevel="0" collapsed="false">
      <c r="A36" s="2" t="s">
        <v>14</v>
      </c>
      <c r="B36" s="2" t="n">
        <v>1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85.4</v>
      </c>
      <c r="K36" s="2" t="s">
        <v>15</v>
      </c>
      <c r="L36" s="2" t="s">
        <v>16</v>
      </c>
      <c r="M36" s="2" t="s">
        <v>20</v>
      </c>
      <c r="N36" s="2" t="n">
        <v>0</v>
      </c>
    </row>
    <row r="37" customFormat="false" ht="15" hidden="false" customHeight="false" outlineLevel="0" collapsed="false">
      <c r="A37" s="2" t="s">
        <v>14</v>
      </c>
      <c r="B37" s="2" t="n">
        <v>1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75.9</v>
      </c>
      <c r="K37" s="2" t="s">
        <v>21</v>
      </c>
      <c r="L37" s="2" t="s">
        <v>16</v>
      </c>
      <c r="M37" s="2" t="s">
        <v>17</v>
      </c>
      <c r="N37" s="2" t="n">
        <v>0</v>
      </c>
    </row>
    <row r="38" customFormat="false" ht="15" hidden="false" customHeight="false" outlineLevel="0" collapsed="false">
      <c r="A38" s="2" t="s">
        <v>14</v>
      </c>
      <c r="B38" s="2" t="n">
        <v>1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1</v>
      </c>
      <c r="H38" s="2" t="n">
        <v>0</v>
      </c>
      <c r="I38" s="2" t="n">
        <v>34.8</v>
      </c>
      <c r="K38" s="2" t="s">
        <v>21</v>
      </c>
      <c r="L38" s="2" t="s">
        <v>19</v>
      </c>
      <c r="M38" s="2" t="s">
        <v>22</v>
      </c>
      <c r="N38" s="2" t="n">
        <v>1</v>
      </c>
    </row>
    <row r="39" customFormat="false" ht="15" hidden="false" customHeight="false" outlineLevel="0" collapsed="false">
      <c r="A39" s="2" t="s">
        <v>14</v>
      </c>
      <c r="B39" s="2" t="n">
        <v>1</v>
      </c>
      <c r="C39" s="2" t="n">
        <v>1</v>
      </c>
      <c r="D39" s="2" t="n">
        <v>1</v>
      </c>
      <c r="E39" s="2" t="n">
        <v>0</v>
      </c>
      <c r="F39" s="2" t="n">
        <v>0</v>
      </c>
      <c r="G39" s="2" t="n">
        <v>1</v>
      </c>
      <c r="H39" s="2" t="n">
        <v>0</v>
      </c>
      <c r="I39" s="2" t="n">
        <v>48.9</v>
      </c>
      <c r="K39" s="2" t="s">
        <v>21</v>
      </c>
      <c r="L39" s="2" t="s">
        <v>19</v>
      </c>
      <c r="M39" s="2" t="s">
        <v>20</v>
      </c>
      <c r="N39" s="2" t="n">
        <v>3</v>
      </c>
    </row>
    <row r="40" customFormat="false" ht="15" hidden="false" customHeight="false" outlineLevel="0" collapsed="false">
      <c r="A40" s="2" t="s">
        <v>14</v>
      </c>
      <c r="B40" s="2" t="n">
        <v>1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41.5</v>
      </c>
      <c r="K40" s="2" t="s">
        <v>21</v>
      </c>
      <c r="L40" s="2" t="s">
        <v>19</v>
      </c>
      <c r="M40" s="2" t="s">
        <v>22</v>
      </c>
      <c r="N40" s="2" t="n">
        <v>0</v>
      </c>
    </row>
    <row r="41" customFormat="false" ht="15" hidden="false" customHeight="false" outlineLevel="0" collapsed="false">
      <c r="A41" s="2" t="s">
        <v>14</v>
      </c>
      <c r="B41" s="2" t="n">
        <v>1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51.5</v>
      </c>
      <c r="K41" s="2" t="s">
        <v>15</v>
      </c>
      <c r="L41" s="2" t="s">
        <v>16</v>
      </c>
      <c r="M41" s="2" t="s">
        <v>17</v>
      </c>
      <c r="N41" s="2" t="n">
        <v>0</v>
      </c>
    </row>
    <row r="42" customFormat="false" ht="15" hidden="false" customHeight="false" outlineLevel="0" collapsed="false">
      <c r="A42" s="2" t="s">
        <v>14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53.2</v>
      </c>
      <c r="K42" s="2" t="s">
        <v>15</v>
      </c>
      <c r="L42" s="2" t="s">
        <v>16</v>
      </c>
      <c r="M42" s="2" t="s">
        <v>20</v>
      </c>
      <c r="N42" s="2" t="n">
        <v>0</v>
      </c>
    </row>
    <row r="43" customFormat="false" ht="15" hidden="false" customHeight="false" outlineLevel="0" collapsed="false">
      <c r="A43" s="2" t="s">
        <v>14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55.6</v>
      </c>
      <c r="K43" s="2" t="s">
        <v>21</v>
      </c>
      <c r="L43" s="2" t="s">
        <v>19</v>
      </c>
      <c r="M43" s="2" t="s">
        <v>22</v>
      </c>
      <c r="N43" s="2" t="n">
        <v>0</v>
      </c>
    </row>
    <row r="44" customFormat="false" ht="15" hidden="false" customHeight="false" outlineLevel="0" collapsed="false">
      <c r="A44" s="2" t="s">
        <v>14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73</v>
      </c>
      <c r="K44" s="2" t="s">
        <v>23</v>
      </c>
      <c r="L44" s="2" t="s">
        <v>16</v>
      </c>
      <c r="M44" s="2" t="s">
        <v>20</v>
      </c>
      <c r="N44" s="2" t="n">
        <v>0</v>
      </c>
    </row>
    <row r="45" customFormat="false" ht="15" hidden="false" customHeight="false" outlineLevel="0" collapsed="false">
      <c r="A45" s="2" t="s">
        <v>14</v>
      </c>
      <c r="B45" s="2" t="n">
        <v>1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65</v>
      </c>
      <c r="K45" s="2" t="s">
        <v>21</v>
      </c>
      <c r="L45" s="2" t="s">
        <v>19</v>
      </c>
      <c r="M45" s="2" t="s">
        <v>20</v>
      </c>
      <c r="N45" s="2" t="n">
        <v>0</v>
      </c>
    </row>
    <row r="46" customFormat="false" ht="15" hidden="false" customHeight="false" outlineLevel="0" collapsed="false">
      <c r="A46" s="2" t="s">
        <v>14</v>
      </c>
      <c r="B46" s="2" t="n">
        <v>1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1</v>
      </c>
      <c r="H46" s="2" t="n">
        <v>0</v>
      </c>
      <c r="I46" s="2" t="n">
        <v>56.3</v>
      </c>
      <c r="K46" s="2" t="s">
        <v>21</v>
      </c>
      <c r="L46" s="2" t="s">
        <v>19</v>
      </c>
      <c r="M46" s="2" t="s">
        <v>20</v>
      </c>
      <c r="N46" s="2" t="n">
        <v>4</v>
      </c>
    </row>
    <row r="47" customFormat="false" ht="15" hidden="false" customHeight="false" outlineLevel="0" collapsed="false">
      <c r="A47" s="2" t="s">
        <v>14</v>
      </c>
      <c r="B47" s="2" t="n">
        <v>1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62.4</v>
      </c>
      <c r="K47" s="2" t="s">
        <v>21</v>
      </c>
      <c r="L47" s="2" t="s">
        <v>19</v>
      </c>
      <c r="M47" s="2" t="s">
        <v>22</v>
      </c>
      <c r="N47" s="2" t="n">
        <v>0</v>
      </c>
    </row>
    <row r="48" customFormat="false" ht="15" hidden="false" customHeight="false" outlineLevel="0" collapsed="false">
      <c r="A48" s="2" t="s">
        <v>14</v>
      </c>
      <c r="B48" s="2" t="n">
        <v>1</v>
      </c>
      <c r="C48" s="2" t="n">
        <v>1</v>
      </c>
      <c r="D48" s="2" t="n">
        <v>1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58.1</v>
      </c>
      <c r="K48" s="2" t="s">
        <v>18</v>
      </c>
      <c r="L48" s="2" t="s">
        <v>16</v>
      </c>
      <c r="M48" s="2" t="s">
        <v>20</v>
      </c>
      <c r="N48" s="2" t="n">
        <v>0</v>
      </c>
    </row>
    <row r="49" customFormat="false" ht="15" hidden="false" customHeight="false" outlineLevel="0" collapsed="false">
      <c r="A49" s="2" t="s">
        <v>14</v>
      </c>
      <c r="B49" s="2" t="n">
        <v>1</v>
      </c>
      <c r="C49" s="2" t="n">
        <v>1</v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80.8</v>
      </c>
      <c r="K49" s="2" t="s">
        <v>15</v>
      </c>
      <c r="L49" s="2" t="s">
        <v>19</v>
      </c>
      <c r="M49" s="2" t="s">
        <v>20</v>
      </c>
      <c r="N49" s="2" t="n">
        <v>0</v>
      </c>
    </row>
    <row r="50" customFormat="false" ht="15" hidden="false" customHeight="false" outlineLevel="0" collapsed="false">
      <c r="A50" s="2" t="s">
        <v>14</v>
      </c>
      <c r="B50" s="2" t="n">
        <v>1</v>
      </c>
      <c r="C50" s="2" t="n">
        <v>1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42.9</v>
      </c>
      <c r="K50" s="2" t="s">
        <v>15</v>
      </c>
      <c r="L50" s="2" t="s">
        <v>19</v>
      </c>
      <c r="M50" s="2" t="s">
        <v>20</v>
      </c>
      <c r="N50" s="2" t="n">
        <v>0</v>
      </c>
    </row>
    <row r="51" customFormat="false" ht="15" hidden="false" customHeight="false" outlineLevel="0" collapsed="false">
      <c r="A51" s="2" t="s">
        <v>14</v>
      </c>
      <c r="B51" s="2" t="n">
        <v>1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52.7</v>
      </c>
      <c r="K51" s="2" t="s">
        <v>18</v>
      </c>
      <c r="L51" s="2" t="s">
        <v>16</v>
      </c>
      <c r="M51" s="2" t="s">
        <v>20</v>
      </c>
      <c r="N51" s="2" t="n">
        <v>0</v>
      </c>
    </row>
    <row r="52" customFormat="false" ht="15" hidden="false" customHeight="false" outlineLevel="0" collapsed="false">
      <c r="A52" s="2" t="s">
        <v>14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46.9</v>
      </c>
      <c r="K52" s="2" t="s">
        <v>15</v>
      </c>
      <c r="L52" s="2" t="s">
        <v>19</v>
      </c>
      <c r="M52" s="2" t="s">
        <v>17</v>
      </c>
      <c r="N52" s="2" t="n">
        <v>0</v>
      </c>
    </row>
    <row r="53" customFormat="false" ht="15" hidden="false" customHeight="false" outlineLevel="0" collapsed="false">
      <c r="A53" s="2" t="s">
        <v>14</v>
      </c>
      <c r="B53" s="2" t="n">
        <v>1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63</v>
      </c>
      <c r="K53" s="2" t="s">
        <v>21</v>
      </c>
      <c r="L53" s="2" t="s">
        <v>16</v>
      </c>
      <c r="M53" s="2" t="s">
        <v>22</v>
      </c>
      <c r="N53" s="2" t="n">
        <v>0</v>
      </c>
    </row>
    <row r="54" customFormat="false" ht="15" hidden="false" customHeight="false" outlineLevel="0" collapsed="false">
      <c r="A54" s="2" t="s">
        <v>14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53.6</v>
      </c>
      <c r="K54" s="2" t="s">
        <v>23</v>
      </c>
      <c r="L54" s="2" t="s">
        <v>24</v>
      </c>
      <c r="M54" s="2" t="s">
        <v>20</v>
      </c>
      <c r="N54" s="2" t="n">
        <v>0</v>
      </c>
    </row>
    <row r="55" customFormat="false" ht="15" hidden="false" customHeight="false" outlineLevel="0" collapsed="false">
      <c r="A55" s="2" t="s">
        <v>14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49.6</v>
      </c>
      <c r="K55" s="2" t="s">
        <v>18</v>
      </c>
      <c r="L55" s="2" t="s">
        <v>16</v>
      </c>
      <c r="M55" s="2" t="s">
        <v>17</v>
      </c>
      <c r="N55" s="2" t="n">
        <v>0</v>
      </c>
    </row>
    <row r="56" customFormat="false" ht="15" hidden="false" customHeight="false" outlineLevel="0" collapsed="false">
      <c r="A56" s="2" t="s">
        <v>14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54</v>
      </c>
      <c r="K56" s="2" t="s">
        <v>23</v>
      </c>
      <c r="L56" s="2" t="s">
        <v>19</v>
      </c>
      <c r="M56" s="2" t="s">
        <v>20</v>
      </c>
      <c r="N56" s="2" t="n">
        <v>0</v>
      </c>
    </row>
    <row r="57" customFormat="false" ht="15" hidden="false" customHeight="false" outlineLevel="0" collapsed="false">
      <c r="A57" s="2" t="s">
        <v>14</v>
      </c>
      <c r="B57" s="2" t="n">
        <v>1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1</v>
      </c>
      <c r="H57" s="2" t="n">
        <v>0</v>
      </c>
      <c r="I57" s="2" t="n">
        <v>50</v>
      </c>
      <c r="K57" s="2" t="s">
        <v>23</v>
      </c>
      <c r="L57" s="2" t="s">
        <v>19</v>
      </c>
      <c r="M57" s="2" t="s">
        <v>17</v>
      </c>
      <c r="N57" s="2" t="n">
        <v>2</v>
      </c>
    </row>
    <row r="58" customFormat="false" ht="15" hidden="false" customHeight="false" outlineLevel="0" collapsed="false">
      <c r="A58" s="2" t="s">
        <v>14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48.1</v>
      </c>
      <c r="K58" s="2" t="s">
        <v>21</v>
      </c>
      <c r="L58" s="2" t="s">
        <v>19</v>
      </c>
      <c r="M58" s="2" t="s">
        <v>17</v>
      </c>
      <c r="N58" s="2" t="n">
        <v>0</v>
      </c>
    </row>
    <row r="59" customFormat="false" ht="15" hidden="false" customHeight="false" outlineLevel="0" collapsed="false">
      <c r="A59" s="2" t="s">
        <v>14</v>
      </c>
      <c r="B59" s="2" t="n">
        <v>1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49.6</v>
      </c>
      <c r="K59" s="2" t="s">
        <v>15</v>
      </c>
      <c r="L59" s="2" t="s">
        <v>16</v>
      </c>
      <c r="M59" s="2" t="s">
        <v>20</v>
      </c>
      <c r="N59" s="2" t="n">
        <v>0</v>
      </c>
    </row>
    <row r="60" customFormat="false" ht="15" hidden="false" customHeight="false" outlineLevel="0" collapsed="false">
      <c r="A60" s="2" t="s">
        <v>14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1</v>
      </c>
      <c r="H60" s="2" t="n">
        <v>0</v>
      </c>
      <c r="I60" s="2" t="n">
        <v>48.9</v>
      </c>
      <c r="K60" s="2" t="s">
        <v>15</v>
      </c>
      <c r="L60" s="2" t="s">
        <v>19</v>
      </c>
      <c r="M60" s="2" t="s">
        <v>20</v>
      </c>
      <c r="N60" s="2" t="n">
        <v>2</v>
      </c>
    </row>
    <row r="61" customFormat="false" ht="15" hidden="false" customHeight="false" outlineLevel="0" collapsed="false">
      <c r="A61" s="2" t="s">
        <v>14</v>
      </c>
      <c r="B61" s="2" t="n">
        <v>1</v>
      </c>
      <c r="C61" s="2" t="n">
        <v>1</v>
      </c>
      <c r="D61" s="2" t="n">
        <v>1</v>
      </c>
      <c r="E61" s="2" t="n">
        <v>1</v>
      </c>
      <c r="F61" s="2" t="n">
        <v>240.42</v>
      </c>
      <c r="G61" s="2" t="n">
        <v>0</v>
      </c>
      <c r="H61" s="2" t="n">
        <v>0</v>
      </c>
      <c r="I61" s="2" t="n">
        <v>56.5</v>
      </c>
      <c r="J61" s="2" t="n">
        <v>16</v>
      </c>
      <c r="K61" s="2" t="s">
        <v>18</v>
      </c>
      <c r="L61" s="2" t="s">
        <v>19</v>
      </c>
      <c r="M61" s="2" t="s">
        <v>20</v>
      </c>
      <c r="N61" s="2" t="n">
        <v>0</v>
      </c>
    </row>
    <row r="62" customFormat="false" ht="15" hidden="false" customHeight="false" outlineLevel="0" collapsed="false">
      <c r="A62" s="2" t="s">
        <v>14</v>
      </c>
      <c r="B62" s="2" t="n">
        <v>1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53.7</v>
      </c>
      <c r="K62" s="2" t="s">
        <v>23</v>
      </c>
      <c r="L62" s="2" t="s">
        <v>19</v>
      </c>
      <c r="M62" s="2" t="s">
        <v>20</v>
      </c>
      <c r="N62" s="2" t="n">
        <v>0</v>
      </c>
    </row>
    <row r="63" customFormat="false" ht="15" hidden="false" customHeight="false" outlineLevel="0" collapsed="false">
      <c r="A63" s="2" t="s">
        <v>14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62.2</v>
      </c>
      <c r="K63" s="2" t="s">
        <v>15</v>
      </c>
      <c r="L63" s="2" t="s">
        <v>19</v>
      </c>
      <c r="M63" s="2" t="s">
        <v>22</v>
      </c>
      <c r="N63" s="2" t="n">
        <v>0</v>
      </c>
    </row>
    <row r="64" customFormat="false" ht="15" hidden="false" customHeight="false" outlineLevel="0" collapsed="false">
      <c r="A64" s="2" t="s">
        <v>14</v>
      </c>
      <c r="B64" s="2" t="n">
        <v>1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50.2</v>
      </c>
      <c r="K64" s="2" t="s">
        <v>23</v>
      </c>
      <c r="L64" s="2" t="s">
        <v>16</v>
      </c>
      <c r="M64" s="2" t="s">
        <v>20</v>
      </c>
      <c r="N64" s="2" t="n">
        <v>0</v>
      </c>
    </row>
    <row r="65" customFormat="false" ht="15" hidden="false" customHeight="false" outlineLevel="0" collapsed="false">
      <c r="A65" s="2" t="s">
        <v>14</v>
      </c>
      <c r="B65" s="2" t="n">
        <v>1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74.3</v>
      </c>
      <c r="K65" s="2" t="s">
        <v>15</v>
      </c>
      <c r="L65" s="2" t="s">
        <v>19</v>
      </c>
      <c r="M65" s="2" t="s">
        <v>17</v>
      </c>
      <c r="N65" s="2" t="n">
        <v>0</v>
      </c>
    </row>
    <row r="66" customFormat="false" ht="15" hidden="false" customHeight="false" outlineLevel="0" collapsed="false">
      <c r="A66" s="2" t="s">
        <v>14</v>
      </c>
      <c r="B66" s="2" t="n">
        <v>1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58</v>
      </c>
      <c r="K66" s="2" t="s">
        <v>23</v>
      </c>
      <c r="L66" s="2" t="s">
        <v>16</v>
      </c>
      <c r="M66" s="2" t="s">
        <v>20</v>
      </c>
      <c r="N66" s="2" t="n">
        <v>0</v>
      </c>
    </row>
    <row r="67" customFormat="false" ht="15" hidden="false" customHeight="false" outlineLevel="0" collapsed="false">
      <c r="A67" s="2" t="s">
        <v>14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46.7</v>
      </c>
      <c r="K67" s="2" t="s">
        <v>23</v>
      </c>
      <c r="L67" s="2" t="s">
        <v>19</v>
      </c>
      <c r="M67" s="2" t="s">
        <v>20</v>
      </c>
      <c r="N67" s="2" t="n">
        <v>0</v>
      </c>
    </row>
    <row r="68" customFormat="false" ht="15" hidden="false" customHeight="false" outlineLevel="0" collapsed="false">
      <c r="A68" s="2" t="s">
        <v>14</v>
      </c>
      <c r="B68" s="2" t="n">
        <v>1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1</v>
      </c>
      <c r="H68" s="2" t="n">
        <v>0</v>
      </c>
      <c r="I68" s="2" t="n">
        <v>49.6</v>
      </c>
      <c r="K68" s="2" t="s">
        <v>23</v>
      </c>
      <c r="L68" s="2" t="s">
        <v>16</v>
      </c>
      <c r="M68" s="2" t="s">
        <v>22</v>
      </c>
      <c r="N68" s="2" t="n">
        <v>1</v>
      </c>
    </row>
    <row r="69" customFormat="false" ht="15" hidden="false" customHeight="false" outlineLevel="0" collapsed="false">
      <c r="A69" s="2" t="s">
        <v>14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60.4</v>
      </c>
      <c r="K69" s="2" t="s">
        <v>18</v>
      </c>
      <c r="L69" s="2" t="s">
        <v>19</v>
      </c>
      <c r="M69" s="2" t="s">
        <v>20</v>
      </c>
      <c r="N69" s="2" t="n">
        <v>0</v>
      </c>
    </row>
    <row r="70" customFormat="false" ht="15" hidden="false" customHeight="false" outlineLevel="0" collapsed="false">
      <c r="A70" s="2" t="s">
        <v>14</v>
      </c>
      <c r="B70" s="2" t="n">
        <v>1</v>
      </c>
      <c r="C70" s="2" t="n">
        <v>1</v>
      </c>
      <c r="D70" s="2" t="n">
        <v>1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55.3</v>
      </c>
      <c r="K70" s="2" t="s">
        <v>21</v>
      </c>
      <c r="L70" s="2" t="s">
        <v>16</v>
      </c>
      <c r="M70" s="2" t="s">
        <v>20</v>
      </c>
      <c r="N70" s="2" t="n">
        <v>0</v>
      </c>
    </row>
    <row r="71" customFormat="false" ht="15" hidden="false" customHeight="false" outlineLevel="0" collapsed="false">
      <c r="A71" s="2" t="s">
        <v>14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56.2</v>
      </c>
      <c r="K71" s="2" t="s">
        <v>15</v>
      </c>
      <c r="L71" s="2" t="s">
        <v>16</v>
      </c>
      <c r="M71" s="2" t="s">
        <v>20</v>
      </c>
      <c r="N71" s="2" t="n">
        <v>0</v>
      </c>
    </row>
    <row r="72" customFormat="false" ht="15" hidden="false" customHeight="false" outlineLevel="0" collapsed="false">
      <c r="A72" s="2" t="s">
        <v>14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29.4</v>
      </c>
      <c r="K72" s="2" t="s">
        <v>18</v>
      </c>
      <c r="L72" s="2" t="s">
        <v>19</v>
      </c>
      <c r="M72" s="2" t="s">
        <v>20</v>
      </c>
      <c r="N72" s="2" t="n">
        <v>0</v>
      </c>
    </row>
    <row r="73" customFormat="false" ht="15" hidden="false" customHeight="false" outlineLevel="0" collapsed="false">
      <c r="A73" s="2" t="s">
        <v>14</v>
      </c>
      <c r="B73" s="2" t="n">
        <v>1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54.2</v>
      </c>
      <c r="K73" s="2" t="s">
        <v>21</v>
      </c>
      <c r="L73" s="2" t="s">
        <v>19</v>
      </c>
      <c r="M73" s="2" t="s">
        <v>20</v>
      </c>
      <c r="N73" s="2" t="n">
        <v>0</v>
      </c>
    </row>
    <row r="74" customFormat="false" ht="15" hidden="false" customHeight="false" outlineLevel="0" collapsed="false">
      <c r="A74" s="2" t="s">
        <v>14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46.4</v>
      </c>
      <c r="K74" s="2" t="s">
        <v>21</v>
      </c>
      <c r="L74" s="2" t="s">
        <v>16</v>
      </c>
      <c r="M74" s="2" t="s">
        <v>17</v>
      </c>
      <c r="N74" s="2" t="n">
        <v>0</v>
      </c>
    </row>
    <row r="75" customFormat="false" ht="15" hidden="false" customHeight="false" outlineLevel="0" collapsed="false">
      <c r="A75" s="2" t="s">
        <v>14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54.5</v>
      </c>
      <c r="K75" s="2" t="s">
        <v>23</v>
      </c>
      <c r="L75" s="2" t="s">
        <v>19</v>
      </c>
      <c r="M75" s="2" t="s">
        <v>17</v>
      </c>
      <c r="N75" s="2" t="n">
        <v>0</v>
      </c>
    </row>
    <row r="76" customFormat="false" ht="15" hidden="false" customHeight="false" outlineLevel="0" collapsed="false">
      <c r="A76" s="2" t="s">
        <v>14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58.5</v>
      </c>
      <c r="K76" s="2" t="s">
        <v>15</v>
      </c>
      <c r="L76" s="2" t="s">
        <v>19</v>
      </c>
      <c r="M76" s="2" t="s">
        <v>20</v>
      </c>
      <c r="N76" s="2" t="n">
        <v>0</v>
      </c>
    </row>
    <row r="77" customFormat="false" ht="15" hidden="false" customHeight="false" outlineLevel="0" collapsed="false">
      <c r="A77" s="2" t="s">
        <v>14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75.9</v>
      </c>
      <c r="K77" s="2" t="s">
        <v>23</v>
      </c>
      <c r="L77" s="2" t="s">
        <v>19</v>
      </c>
      <c r="M77" s="2" t="s">
        <v>20</v>
      </c>
      <c r="N77" s="2" t="n">
        <v>0</v>
      </c>
    </row>
    <row r="78" customFormat="false" ht="15" hidden="false" customHeight="false" outlineLevel="0" collapsed="false">
      <c r="A78" s="2" t="s">
        <v>14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1</v>
      </c>
      <c r="H78" s="2" t="n">
        <v>0</v>
      </c>
      <c r="I78" s="2" t="n">
        <v>84.9</v>
      </c>
      <c r="K78" s="2" t="s">
        <v>15</v>
      </c>
      <c r="L78" s="2" t="s">
        <v>19</v>
      </c>
      <c r="M78" s="2" t="s">
        <v>20</v>
      </c>
      <c r="N78" s="2" t="n">
        <v>1</v>
      </c>
    </row>
    <row r="79" customFormat="false" ht="15" hidden="false" customHeight="false" outlineLevel="0" collapsed="false">
      <c r="A79" s="2" t="s">
        <v>14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1</v>
      </c>
      <c r="H79" s="2" t="n">
        <v>0</v>
      </c>
      <c r="I79" s="2" t="n">
        <v>48.4</v>
      </c>
      <c r="K79" s="2" t="s">
        <v>15</v>
      </c>
      <c r="L79" s="2" t="s">
        <v>19</v>
      </c>
      <c r="M79" s="2" t="s">
        <v>20</v>
      </c>
      <c r="N79" s="2" t="n">
        <v>2</v>
      </c>
    </row>
    <row r="80" customFormat="false" ht="15" hidden="false" customHeight="false" outlineLevel="0" collapsed="false">
      <c r="A80" s="2" t="s">
        <v>14</v>
      </c>
      <c r="B80" s="2" t="n">
        <v>1</v>
      </c>
      <c r="C80" s="2" t="n">
        <v>1</v>
      </c>
      <c r="D80" s="2" t="n">
        <v>1</v>
      </c>
      <c r="E80" s="2" t="n">
        <v>1</v>
      </c>
      <c r="F80" s="2" t="n">
        <v>457.51</v>
      </c>
      <c r="G80" s="2" t="n">
        <v>0</v>
      </c>
      <c r="H80" s="2" t="n">
        <v>0</v>
      </c>
      <c r="I80" s="2" t="n">
        <v>38</v>
      </c>
      <c r="J80" s="2" t="n">
        <v>7</v>
      </c>
      <c r="K80" s="2" t="s">
        <v>18</v>
      </c>
      <c r="L80" s="2" t="s">
        <v>16</v>
      </c>
      <c r="M80" s="2" t="s">
        <v>20</v>
      </c>
      <c r="N80" s="2" t="n">
        <v>0</v>
      </c>
    </row>
    <row r="81" customFormat="false" ht="15" hidden="false" customHeight="false" outlineLevel="0" collapsed="false">
      <c r="A81" s="2" t="s">
        <v>14</v>
      </c>
      <c r="B81" s="2" t="n">
        <v>1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44.2</v>
      </c>
      <c r="K81" s="2" t="s">
        <v>21</v>
      </c>
      <c r="L81" s="2" t="s">
        <v>19</v>
      </c>
      <c r="M81" s="2" t="s">
        <v>20</v>
      </c>
      <c r="N81" s="2" t="n">
        <v>0</v>
      </c>
    </row>
    <row r="82" customFormat="false" ht="15" hidden="false" customHeight="false" outlineLevel="0" collapsed="false">
      <c r="A82" s="2" t="s">
        <v>14</v>
      </c>
      <c r="B82" s="2" t="n">
        <v>1</v>
      </c>
      <c r="C82" s="2" t="n">
        <v>1</v>
      </c>
      <c r="D82" s="2" t="n">
        <v>1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81.2</v>
      </c>
      <c r="K82" s="2" t="s">
        <v>23</v>
      </c>
      <c r="L82" s="2" t="s">
        <v>19</v>
      </c>
      <c r="M82" s="2" t="s">
        <v>20</v>
      </c>
      <c r="N82" s="2" t="n">
        <v>0</v>
      </c>
    </row>
    <row r="83" customFormat="false" ht="15" hidden="false" customHeight="false" outlineLevel="0" collapsed="false">
      <c r="A83" s="2" t="s">
        <v>14</v>
      </c>
      <c r="B83" s="2" t="n">
        <v>1</v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63.8</v>
      </c>
      <c r="K83" s="2" t="s">
        <v>23</v>
      </c>
      <c r="L83" s="2" t="s">
        <v>19</v>
      </c>
      <c r="M83" s="2" t="s">
        <v>20</v>
      </c>
      <c r="N83" s="2" t="n">
        <v>0</v>
      </c>
    </row>
    <row r="84" customFormat="false" ht="15" hidden="false" customHeight="false" outlineLevel="0" collapsed="false">
      <c r="A84" s="2" t="s">
        <v>14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64.7</v>
      </c>
      <c r="K84" s="2" t="s">
        <v>23</v>
      </c>
      <c r="L84" s="2" t="s">
        <v>16</v>
      </c>
      <c r="M84" s="2" t="s">
        <v>20</v>
      </c>
      <c r="N84" s="2" t="n">
        <v>0</v>
      </c>
    </row>
    <row r="85" customFormat="false" ht="15" hidden="false" customHeight="false" outlineLevel="0" collapsed="false">
      <c r="A85" s="2" t="s">
        <v>14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60.4</v>
      </c>
      <c r="K85" s="2" t="s">
        <v>18</v>
      </c>
      <c r="L85" s="2" t="s">
        <v>19</v>
      </c>
      <c r="M85" s="2" t="s">
        <v>17</v>
      </c>
      <c r="N85" s="2" t="n">
        <v>0</v>
      </c>
    </row>
    <row r="86" customFormat="false" ht="15" hidden="false" customHeight="false" outlineLevel="0" collapsed="false">
      <c r="A86" s="2" t="s">
        <v>14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66.6</v>
      </c>
      <c r="K86" s="2" t="s">
        <v>23</v>
      </c>
      <c r="L86" s="2" t="s">
        <v>19</v>
      </c>
      <c r="M86" s="2" t="s">
        <v>20</v>
      </c>
      <c r="N86" s="2" t="n">
        <v>0</v>
      </c>
    </row>
    <row r="87" customFormat="false" ht="15" hidden="false" customHeight="false" outlineLevel="0" collapsed="false">
      <c r="A87" s="2" t="s">
        <v>14</v>
      </c>
      <c r="B87" s="2" t="n">
        <v>1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50.9</v>
      </c>
      <c r="K87" s="2" t="s">
        <v>15</v>
      </c>
      <c r="L87" s="2" t="s">
        <v>16</v>
      </c>
      <c r="M87" s="2" t="s">
        <v>20</v>
      </c>
      <c r="N87" s="2" t="n">
        <v>0</v>
      </c>
    </row>
    <row r="88" customFormat="false" ht="15" hidden="false" customHeight="false" outlineLevel="0" collapsed="false">
      <c r="A88" s="2" t="s">
        <v>14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51</v>
      </c>
      <c r="K88" s="2" t="s">
        <v>18</v>
      </c>
      <c r="L88" s="2" t="s">
        <v>16</v>
      </c>
      <c r="M88" s="2" t="s">
        <v>17</v>
      </c>
      <c r="N88" s="2" t="n">
        <v>0</v>
      </c>
    </row>
    <row r="89" customFormat="false" ht="15" hidden="false" customHeight="false" outlineLevel="0" collapsed="false">
      <c r="A89" s="2" t="s">
        <v>14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65.8</v>
      </c>
      <c r="K89" s="2" t="s">
        <v>23</v>
      </c>
      <c r="L89" s="2" t="s">
        <v>19</v>
      </c>
      <c r="M89" s="2" t="s">
        <v>22</v>
      </c>
      <c r="N89" s="2" t="n">
        <v>0</v>
      </c>
    </row>
    <row r="90" customFormat="false" ht="15" hidden="false" customHeight="false" outlineLevel="0" collapsed="false">
      <c r="A90" s="2" t="s">
        <v>14</v>
      </c>
      <c r="B90" s="2" t="n">
        <v>1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61.8</v>
      </c>
      <c r="K90" s="2" t="s">
        <v>15</v>
      </c>
      <c r="L90" s="2" t="s">
        <v>19</v>
      </c>
      <c r="M90" s="2" t="s">
        <v>17</v>
      </c>
      <c r="N90" s="2" t="n">
        <v>0</v>
      </c>
    </row>
    <row r="91" customFormat="false" ht="15" hidden="false" customHeight="false" outlineLevel="0" collapsed="false">
      <c r="A91" s="2" t="s">
        <v>14</v>
      </c>
      <c r="B91" s="2" t="n">
        <v>1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54.5</v>
      </c>
      <c r="K91" s="2" t="s">
        <v>15</v>
      </c>
      <c r="L91" s="2" t="s">
        <v>19</v>
      </c>
      <c r="M91" s="2" t="s">
        <v>17</v>
      </c>
      <c r="N91" s="2" t="n">
        <v>0</v>
      </c>
    </row>
    <row r="92" customFormat="false" ht="15" hidden="false" customHeight="false" outlineLevel="0" collapsed="false">
      <c r="A92" s="2" t="s">
        <v>14</v>
      </c>
      <c r="B92" s="2" t="n">
        <v>1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72.2</v>
      </c>
      <c r="K92" s="2" t="s">
        <v>23</v>
      </c>
      <c r="L92" s="2" t="s">
        <v>16</v>
      </c>
      <c r="M92" s="2" t="s">
        <v>20</v>
      </c>
      <c r="N92" s="2" t="n">
        <v>0</v>
      </c>
    </row>
    <row r="93" customFormat="false" ht="15" hidden="false" customHeight="false" outlineLevel="0" collapsed="false">
      <c r="A93" s="2" t="s">
        <v>14</v>
      </c>
      <c r="B93" s="2" t="n">
        <v>1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42.3</v>
      </c>
      <c r="K93" s="2" t="s">
        <v>23</v>
      </c>
      <c r="L93" s="2" t="s">
        <v>19</v>
      </c>
      <c r="M93" s="2" t="s">
        <v>20</v>
      </c>
      <c r="N93" s="2" t="n">
        <v>0</v>
      </c>
    </row>
    <row r="94" customFormat="false" ht="15" hidden="false" customHeight="false" outlineLevel="0" collapsed="false">
      <c r="A94" s="2" t="s">
        <v>14</v>
      </c>
      <c r="B94" s="2" t="n">
        <v>1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76.2</v>
      </c>
      <c r="K94" s="2" t="s">
        <v>21</v>
      </c>
      <c r="L94" s="2" t="s">
        <v>16</v>
      </c>
      <c r="M94" s="2" t="s">
        <v>17</v>
      </c>
      <c r="N94" s="2" t="n">
        <v>0</v>
      </c>
    </row>
    <row r="95" customFormat="false" ht="15" hidden="false" customHeight="false" outlineLevel="0" collapsed="false">
      <c r="A95" s="2" t="s">
        <v>14</v>
      </c>
      <c r="B95" s="2" t="n">
        <v>1</v>
      </c>
      <c r="C95" s="2" t="n">
        <v>1</v>
      </c>
      <c r="D95" s="2" t="n">
        <v>1</v>
      </c>
      <c r="E95" s="2" t="n">
        <v>0</v>
      </c>
      <c r="F95" s="2" t="n">
        <v>0</v>
      </c>
      <c r="G95" s="2" t="n">
        <v>1</v>
      </c>
      <c r="H95" s="2" t="n">
        <v>0</v>
      </c>
      <c r="I95" s="2" t="n">
        <v>37.4</v>
      </c>
      <c r="K95" s="2" t="s">
        <v>23</v>
      </c>
      <c r="L95" s="2" t="s">
        <v>24</v>
      </c>
      <c r="M95" s="2" t="s">
        <v>22</v>
      </c>
      <c r="N95" s="2" t="n">
        <v>1</v>
      </c>
    </row>
    <row r="96" customFormat="false" ht="15" hidden="false" customHeight="false" outlineLevel="0" collapsed="false">
      <c r="A96" s="2" t="s">
        <v>14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84.2</v>
      </c>
      <c r="K96" s="2" t="s">
        <v>21</v>
      </c>
      <c r="L96" s="2" t="s">
        <v>19</v>
      </c>
      <c r="M96" s="2" t="s">
        <v>20</v>
      </c>
      <c r="N96" s="2" t="n">
        <v>0</v>
      </c>
    </row>
    <row r="97" customFormat="false" ht="15" hidden="false" customHeight="false" outlineLevel="0" collapsed="false">
      <c r="A97" s="2" t="s">
        <v>14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68</v>
      </c>
      <c r="K97" s="2" t="s">
        <v>21</v>
      </c>
      <c r="L97" s="2" t="s">
        <v>19</v>
      </c>
      <c r="M97" s="2" t="s">
        <v>20</v>
      </c>
      <c r="N97" s="2" t="n">
        <v>0</v>
      </c>
    </row>
    <row r="98" customFormat="false" ht="15" hidden="false" customHeight="false" outlineLevel="0" collapsed="false">
      <c r="A98" s="2" t="s">
        <v>14</v>
      </c>
      <c r="B98" s="2" t="n">
        <v>1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53.5</v>
      </c>
      <c r="K98" s="2" t="s">
        <v>18</v>
      </c>
      <c r="L98" s="2" t="s">
        <v>19</v>
      </c>
      <c r="M98" s="2" t="s">
        <v>17</v>
      </c>
      <c r="N98" s="2" t="n">
        <v>0</v>
      </c>
    </row>
    <row r="99" customFormat="false" ht="15" hidden="false" customHeight="false" outlineLevel="0" collapsed="false">
      <c r="A99" s="2" t="s">
        <v>14</v>
      </c>
      <c r="B99" s="2" t="n">
        <v>1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63.2</v>
      </c>
      <c r="K99" s="2" t="s">
        <v>15</v>
      </c>
      <c r="L99" s="2" t="s">
        <v>16</v>
      </c>
      <c r="M99" s="2" t="s">
        <v>22</v>
      </c>
      <c r="N99" s="2" t="n">
        <v>0</v>
      </c>
    </row>
    <row r="100" customFormat="false" ht="15" hidden="false" customHeight="false" outlineLevel="0" collapsed="false">
      <c r="A100" s="2" t="s">
        <v>14</v>
      </c>
      <c r="B100" s="2" t="n">
        <v>1</v>
      </c>
      <c r="C100" s="2" t="n">
        <v>1</v>
      </c>
      <c r="D100" s="2" t="n">
        <v>1</v>
      </c>
      <c r="E100" s="2" t="n">
        <v>1</v>
      </c>
      <c r="F100" s="2" t="n">
        <v>363.32</v>
      </c>
      <c r="G100" s="2" t="n">
        <v>0</v>
      </c>
      <c r="H100" s="2" t="n">
        <v>0</v>
      </c>
      <c r="I100" s="2" t="n">
        <v>55.9</v>
      </c>
      <c r="J100" s="2" t="n">
        <v>9</v>
      </c>
      <c r="K100" s="2" t="s">
        <v>21</v>
      </c>
      <c r="L100" s="2" t="s">
        <v>16</v>
      </c>
      <c r="M100" s="2" t="s">
        <v>20</v>
      </c>
      <c r="N100" s="2" t="n">
        <v>0</v>
      </c>
    </row>
    <row r="101" customFormat="false" ht="15" hidden="false" customHeight="false" outlineLevel="0" collapsed="false">
      <c r="A101" s="2" t="s">
        <v>14</v>
      </c>
      <c r="B101" s="2" t="n">
        <v>1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63.5</v>
      </c>
      <c r="K101" s="2" t="s">
        <v>15</v>
      </c>
      <c r="L101" s="2" t="s">
        <v>19</v>
      </c>
      <c r="M101" s="2" t="s">
        <v>20</v>
      </c>
      <c r="N101" s="2" t="n">
        <v>0</v>
      </c>
    </row>
    <row r="102" customFormat="false" ht="15" hidden="false" customHeight="false" outlineLevel="0" collapsed="false">
      <c r="A102" s="2" t="s">
        <v>14</v>
      </c>
      <c r="B102" s="2" t="n">
        <v>1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51.5</v>
      </c>
      <c r="K102" s="2" t="s">
        <v>15</v>
      </c>
      <c r="L102" s="2" t="s">
        <v>19</v>
      </c>
      <c r="M102" s="2" t="s">
        <v>17</v>
      </c>
      <c r="N102" s="2" t="n">
        <v>0</v>
      </c>
    </row>
    <row r="103" customFormat="false" ht="15" hidden="false" customHeight="false" outlineLevel="0" collapsed="false">
      <c r="A103" s="2" t="s">
        <v>14</v>
      </c>
      <c r="B103" s="2" t="n">
        <v>1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74.4</v>
      </c>
      <c r="K103" s="2" t="s">
        <v>18</v>
      </c>
      <c r="L103" s="2" t="s">
        <v>19</v>
      </c>
      <c r="M103" s="2" t="s">
        <v>20</v>
      </c>
      <c r="N103" s="2" t="n">
        <v>0</v>
      </c>
    </row>
    <row r="104" customFormat="false" ht="15" hidden="false" customHeight="false" outlineLevel="0" collapsed="false">
      <c r="A104" s="2" t="s">
        <v>14</v>
      </c>
      <c r="B104" s="2" t="n">
        <v>1</v>
      </c>
      <c r="C104" s="2" t="n">
        <v>1</v>
      </c>
      <c r="D104" s="2" t="n">
        <v>1</v>
      </c>
      <c r="E104" s="2" t="n">
        <v>1</v>
      </c>
      <c r="F104" s="2" t="n">
        <v>3887.98</v>
      </c>
      <c r="G104" s="2" t="n">
        <v>0</v>
      </c>
      <c r="H104" s="2" t="n">
        <v>0</v>
      </c>
      <c r="I104" s="2" t="n">
        <v>60.2</v>
      </c>
      <c r="J104" s="2" t="n">
        <v>13</v>
      </c>
      <c r="K104" s="2" t="s">
        <v>15</v>
      </c>
      <c r="L104" s="2" t="s">
        <v>16</v>
      </c>
      <c r="M104" s="2" t="s">
        <v>20</v>
      </c>
      <c r="N104" s="2" t="n">
        <v>0</v>
      </c>
    </row>
    <row r="105" customFormat="false" ht="15" hidden="false" customHeight="false" outlineLevel="0" collapsed="false">
      <c r="A105" s="2" t="s">
        <v>14</v>
      </c>
      <c r="B105" s="2" t="n">
        <v>1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1</v>
      </c>
      <c r="H105" s="2" t="n">
        <v>0</v>
      </c>
      <c r="I105" s="2" t="n">
        <v>67.2</v>
      </c>
      <c r="K105" s="2" t="s">
        <v>23</v>
      </c>
      <c r="L105" s="2" t="s">
        <v>19</v>
      </c>
      <c r="M105" s="2" t="s">
        <v>20</v>
      </c>
      <c r="N105" s="2" t="n">
        <v>1</v>
      </c>
    </row>
    <row r="106" customFormat="false" ht="15" hidden="false" customHeight="false" outlineLevel="0" collapsed="false">
      <c r="A106" s="2" t="s">
        <v>14</v>
      </c>
      <c r="B106" s="2" t="n">
        <v>1</v>
      </c>
      <c r="C106" s="2" t="n">
        <v>1</v>
      </c>
      <c r="D106" s="2" t="n">
        <v>1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79.6</v>
      </c>
      <c r="K106" s="2" t="s">
        <v>23</v>
      </c>
      <c r="L106" s="2" t="s">
        <v>19</v>
      </c>
      <c r="M106" s="2" t="s">
        <v>20</v>
      </c>
      <c r="N106" s="2" t="n">
        <v>0</v>
      </c>
    </row>
    <row r="107" customFormat="false" ht="15" hidden="false" customHeight="false" outlineLevel="0" collapsed="false">
      <c r="A107" s="2" t="s">
        <v>14</v>
      </c>
      <c r="B107" s="2" t="n">
        <v>1</v>
      </c>
      <c r="C107" s="2" t="n">
        <v>1</v>
      </c>
      <c r="D107" s="2" t="n">
        <v>1</v>
      </c>
      <c r="E107" s="2" t="n">
        <v>1</v>
      </c>
      <c r="F107" s="2" t="n">
        <v>8610.72</v>
      </c>
      <c r="G107" s="2" t="n">
        <v>0</v>
      </c>
      <c r="H107" s="2" t="n">
        <v>0</v>
      </c>
      <c r="I107" s="2" t="n">
        <v>61</v>
      </c>
      <c r="J107" s="2" t="n">
        <v>6</v>
      </c>
      <c r="K107" s="2" t="s">
        <v>23</v>
      </c>
      <c r="L107" s="2" t="s">
        <v>19</v>
      </c>
      <c r="M107" s="2" t="s">
        <v>17</v>
      </c>
      <c r="N107" s="2" t="n">
        <v>0</v>
      </c>
    </row>
    <row r="108" customFormat="false" ht="15" hidden="false" customHeight="false" outlineLevel="0" collapsed="false">
      <c r="A108" s="2" t="s">
        <v>14</v>
      </c>
      <c r="B108" s="2" t="n">
        <v>1</v>
      </c>
      <c r="C108" s="2" t="n">
        <v>1</v>
      </c>
      <c r="D108" s="2" t="n">
        <v>1</v>
      </c>
      <c r="E108" s="2" t="n">
        <v>0</v>
      </c>
      <c r="F108" s="2" t="n">
        <v>0</v>
      </c>
      <c r="G108" s="2" t="n">
        <v>1</v>
      </c>
      <c r="H108" s="2" t="n">
        <v>0</v>
      </c>
      <c r="I108" s="2" t="n">
        <v>51.1</v>
      </c>
      <c r="K108" s="2" t="s">
        <v>18</v>
      </c>
      <c r="L108" s="2" t="s">
        <v>19</v>
      </c>
      <c r="M108" s="2" t="s">
        <v>20</v>
      </c>
      <c r="N108" s="2" t="n">
        <v>4</v>
      </c>
    </row>
    <row r="109" customFormat="false" ht="15" hidden="false" customHeight="false" outlineLevel="0" collapsed="false">
      <c r="A109" s="2" t="s">
        <v>14</v>
      </c>
      <c r="B109" s="2" t="n">
        <v>1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92.1</v>
      </c>
      <c r="K109" s="2" t="s">
        <v>21</v>
      </c>
      <c r="L109" s="2" t="s">
        <v>16</v>
      </c>
      <c r="M109" s="2" t="s">
        <v>20</v>
      </c>
      <c r="N109" s="2" t="n">
        <v>0</v>
      </c>
    </row>
    <row r="110" customFormat="false" ht="15" hidden="false" customHeight="false" outlineLevel="0" collapsed="false">
      <c r="A110" s="2" t="s">
        <v>14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82.1</v>
      </c>
      <c r="K110" s="2" t="s">
        <v>23</v>
      </c>
      <c r="L110" s="2" t="s">
        <v>19</v>
      </c>
      <c r="M110" s="2" t="s">
        <v>17</v>
      </c>
      <c r="N110" s="2" t="n">
        <v>0</v>
      </c>
    </row>
    <row r="111" customFormat="false" ht="15" hidden="false" customHeight="false" outlineLevel="0" collapsed="false">
      <c r="A111" s="2" t="s">
        <v>14</v>
      </c>
      <c r="B111" s="2" t="n">
        <v>1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1</v>
      </c>
      <c r="H111" s="2" t="n">
        <v>0</v>
      </c>
      <c r="I111" s="2" t="n">
        <v>74</v>
      </c>
      <c r="K111" s="2" t="s">
        <v>18</v>
      </c>
      <c r="L111" s="2" t="s">
        <v>16</v>
      </c>
      <c r="M111" s="2" t="s">
        <v>17</v>
      </c>
      <c r="N111" s="2" t="n">
        <v>1</v>
      </c>
    </row>
    <row r="112" customFormat="false" ht="15" hidden="false" customHeight="false" outlineLevel="0" collapsed="false">
      <c r="A112" s="2" t="s">
        <v>14</v>
      </c>
      <c r="B112" s="2" t="n">
        <v>1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63.4</v>
      </c>
      <c r="K112" s="2" t="s">
        <v>18</v>
      </c>
      <c r="L112" s="2" t="s">
        <v>16</v>
      </c>
      <c r="M112" s="2" t="s">
        <v>17</v>
      </c>
      <c r="N112" s="2" t="n">
        <v>0</v>
      </c>
    </row>
    <row r="113" customFormat="false" ht="15" hidden="false" customHeight="false" outlineLevel="0" collapsed="false">
      <c r="A113" s="2" t="s">
        <v>14</v>
      </c>
      <c r="B113" s="2" t="n">
        <v>1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53.2</v>
      </c>
      <c r="K113" s="2" t="s">
        <v>15</v>
      </c>
      <c r="L113" s="2" t="s">
        <v>19</v>
      </c>
      <c r="M113" s="2" t="s">
        <v>17</v>
      </c>
      <c r="N113" s="2" t="n">
        <v>0</v>
      </c>
    </row>
    <row r="114" customFormat="false" ht="15" hidden="false" customHeight="false" outlineLevel="0" collapsed="false">
      <c r="A114" s="2" t="s">
        <v>14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48.1</v>
      </c>
      <c r="K114" s="2" t="s">
        <v>21</v>
      </c>
      <c r="L114" s="2" t="s">
        <v>24</v>
      </c>
      <c r="M114" s="2" t="s">
        <v>20</v>
      </c>
      <c r="N114" s="2" t="n">
        <v>0</v>
      </c>
    </row>
    <row r="115" customFormat="false" ht="15" hidden="false" customHeight="false" outlineLevel="0" collapsed="false">
      <c r="A115" s="2" t="s">
        <v>14</v>
      </c>
      <c r="B115" s="2" t="n">
        <v>1</v>
      </c>
      <c r="C115" s="2" t="n">
        <v>1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61.5</v>
      </c>
      <c r="K115" s="2" t="s">
        <v>23</v>
      </c>
      <c r="L115" s="2" t="s">
        <v>19</v>
      </c>
      <c r="M115" s="2" t="s">
        <v>20</v>
      </c>
      <c r="N115" s="2" t="n">
        <v>0</v>
      </c>
    </row>
    <row r="116" customFormat="false" ht="15" hidden="false" customHeight="false" outlineLevel="0" collapsed="false">
      <c r="A116" s="2" t="s">
        <v>14</v>
      </c>
      <c r="B116" s="2" t="n">
        <v>1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63.2</v>
      </c>
      <c r="K116" s="2" t="s">
        <v>21</v>
      </c>
      <c r="L116" s="2" t="s">
        <v>16</v>
      </c>
      <c r="M116" s="2" t="s">
        <v>20</v>
      </c>
      <c r="N116" s="2" t="n">
        <v>0</v>
      </c>
    </row>
    <row r="117" customFormat="false" ht="15" hidden="false" customHeight="false" outlineLevel="0" collapsed="false">
      <c r="A117" s="2" t="s">
        <v>14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71.9</v>
      </c>
      <c r="K117" s="2" t="s">
        <v>18</v>
      </c>
      <c r="L117" s="2" t="s">
        <v>19</v>
      </c>
      <c r="M117" s="2" t="s">
        <v>20</v>
      </c>
      <c r="N117" s="2" t="n">
        <v>0</v>
      </c>
    </row>
    <row r="118" customFormat="false" ht="15" hidden="false" customHeight="false" outlineLevel="0" collapsed="false">
      <c r="A118" s="2" t="s">
        <v>14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62.7</v>
      </c>
      <c r="K118" s="2" t="s">
        <v>15</v>
      </c>
      <c r="L118" s="2" t="s">
        <v>19</v>
      </c>
      <c r="M118" s="2" t="s">
        <v>20</v>
      </c>
      <c r="N118" s="2" t="n">
        <v>0</v>
      </c>
    </row>
    <row r="119" customFormat="false" ht="15" hidden="false" customHeight="false" outlineLevel="0" collapsed="false">
      <c r="A119" s="2" t="s">
        <v>14</v>
      </c>
      <c r="B119" s="2" t="n">
        <v>1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51.5</v>
      </c>
      <c r="K119" s="2" t="s">
        <v>18</v>
      </c>
      <c r="L119" s="2" t="s">
        <v>19</v>
      </c>
      <c r="M119" s="2" t="s">
        <v>20</v>
      </c>
      <c r="N119" s="2" t="n">
        <v>0</v>
      </c>
    </row>
    <row r="120" customFormat="false" ht="15" hidden="false" customHeight="false" outlineLevel="0" collapsed="false">
      <c r="A120" s="2" t="s">
        <v>14</v>
      </c>
      <c r="B120" s="2" t="n">
        <v>1</v>
      </c>
      <c r="C120" s="2" t="n">
        <v>1</v>
      </c>
      <c r="D120" s="2" t="n">
        <v>1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39.1</v>
      </c>
      <c r="K120" s="2" t="s">
        <v>21</v>
      </c>
      <c r="L120" s="2" t="s">
        <v>19</v>
      </c>
      <c r="M120" s="2" t="s">
        <v>20</v>
      </c>
      <c r="N120" s="2" t="n">
        <v>0</v>
      </c>
    </row>
    <row r="121" customFormat="false" ht="15" hidden="false" customHeight="false" outlineLevel="0" collapsed="false">
      <c r="A121" s="2" t="s">
        <v>14</v>
      </c>
      <c r="B121" s="2" t="n">
        <v>1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43.8</v>
      </c>
      <c r="K121" s="2" t="s">
        <v>15</v>
      </c>
      <c r="L121" s="2" t="s">
        <v>19</v>
      </c>
      <c r="M121" s="2" t="s">
        <v>20</v>
      </c>
      <c r="N121" s="2" t="n">
        <v>0</v>
      </c>
    </row>
    <row r="122" customFormat="false" ht="15" hidden="false" customHeight="false" outlineLevel="0" collapsed="false">
      <c r="A122" s="2" t="s">
        <v>14</v>
      </c>
      <c r="B122" s="2" t="n">
        <v>1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59.9</v>
      </c>
      <c r="K122" s="2" t="s">
        <v>15</v>
      </c>
      <c r="L122" s="2" t="s">
        <v>19</v>
      </c>
      <c r="M122" s="2" t="s">
        <v>17</v>
      </c>
      <c r="N122" s="2" t="n">
        <v>0</v>
      </c>
    </row>
    <row r="123" customFormat="false" ht="15" hidden="false" customHeight="false" outlineLevel="0" collapsed="false">
      <c r="A123" s="2" t="s">
        <v>14</v>
      </c>
      <c r="B123" s="2" t="n">
        <v>1</v>
      </c>
      <c r="C123" s="2" t="n">
        <v>1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71.4</v>
      </c>
      <c r="K123" s="2" t="s">
        <v>15</v>
      </c>
      <c r="L123" s="2" t="s">
        <v>19</v>
      </c>
      <c r="M123" s="2" t="s">
        <v>20</v>
      </c>
      <c r="N123" s="2" t="n">
        <v>0</v>
      </c>
    </row>
    <row r="124" customFormat="false" ht="15" hidden="false" customHeight="false" outlineLevel="0" collapsed="false">
      <c r="A124" s="2" t="s">
        <v>14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36.1</v>
      </c>
      <c r="K124" s="2" t="s">
        <v>23</v>
      </c>
      <c r="L124" s="2" t="s">
        <v>19</v>
      </c>
      <c r="M124" s="2" t="s">
        <v>17</v>
      </c>
      <c r="N124" s="2" t="n">
        <v>0</v>
      </c>
    </row>
    <row r="125" customFormat="false" ht="15" hidden="false" customHeight="false" outlineLevel="0" collapsed="false">
      <c r="A125" s="2" t="s">
        <v>14</v>
      </c>
      <c r="B125" s="2" t="n">
        <v>1</v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47.9</v>
      </c>
      <c r="K125" s="2" t="s">
        <v>18</v>
      </c>
      <c r="L125" s="2" t="s">
        <v>25</v>
      </c>
      <c r="M125" s="2" t="s">
        <v>17</v>
      </c>
      <c r="N125" s="2" t="n">
        <v>0</v>
      </c>
    </row>
    <row r="126" customFormat="false" ht="15" hidden="false" customHeight="false" outlineLevel="0" collapsed="false">
      <c r="A126" s="2" t="s">
        <v>14</v>
      </c>
      <c r="B126" s="2" t="n">
        <v>1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62.5</v>
      </c>
      <c r="K126" s="2" t="s">
        <v>18</v>
      </c>
      <c r="L126" s="2" t="s">
        <v>16</v>
      </c>
      <c r="M126" s="2" t="s">
        <v>22</v>
      </c>
      <c r="N126" s="2" t="n">
        <v>0</v>
      </c>
    </row>
    <row r="127" customFormat="false" ht="15" hidden="false" customHeight="false" outlineLevel="0" collapsed="false">
      <c r="A127" s="2" t="s">
        <v>14</v>
      </c>
      <c r="B127" s="2" t="n">
        <v>1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56.9</v>
      </c>
      <c r="K127" s="2" t="s">
        <v>23</v>
      </c>
      <c r="L127" s="2" t="s">
        <v>16</v>
      </c>
      <c r="M127" s="2" t="s">
        <v>22</v>
      </c>
      <c r="N127" s="2" t="n">
        <v>0</v>
      </c>
    </row>
    <row r="128" customFormat="false" ht="15" hidden="false" customHeight="false" outlineLevel="0" collapsed="false">
      <c r="A128" s="2" t="s">
        <v>14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64.7</v>
      </c>
      <c r="K128" s="2" t="s">
        <v>15</v>
      </c>
      <c r="L128" s="2" t="s">
        <v>16</v>
      </c>
      <c r="M128" s="2" t="s">
        <v>20</v>
      </c>
      <c r="N128" s="2" t="n">
        <v>0</v>
      </c>
    </row>
    <row r="129" customFormat="false" ht="15" hidden="false" customHeight="false" outlineLevel="0" collapsed="false">
      <c r="A129" s="2" t="s">
        <v>14</v>
      </c>
      <c r="B129" s="2" t="n">
        <v>1</v>
      </c>
      <c r="C129" s="2" t="n">
        <v>1</v>
      </c>
      <c r="D129" s="2" t="n">
        <v>1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64</v>
      </c>
      <c r="K129" s="2" t="s">
        <v>23</v>
      </c>
      <c r="L129" s="2" t="s">
        <v>16</v>
      </c>
      <c r="M129" s="2" t="s">
        <v>20</v>
      </c>
      <c r="N129" s="2" t="n">
        <v>0</v>
      </c>
    </row>
    <row r="130" customFormat="false" ht="15" hidden="false" customHeight="false" outlineLevel="0" collapsed="false">
      <c r="A130" s="2" t="s">
        <v>14</v>
      </c>
      <c r="B130" s="2" t="n">
        <v>1</v>
      </c>
      <c r="C130" s="2" t="n">
        <v>1</v>
      </c>
      <c r="D130" s="2" t="n">
        <v>1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75.2</v>
      </c>
      <c r="K130" s="2" t="s">
        <v>21</v>
      </c>
      <c r="L130" s="2" t="s">
        <v>19</v>
      </c>
      <c r="M130" s="2" t="s">
        <v>17</v>
      </c>
      <c r="N130" s="2" t="n">
        <v>0</v>
      </c>
    </row>
    <row r="131" customFormat="false" ht="15" hidden="false" customHeight="false" outlineLevel="0" collapsed="false">
      <c r="A131" s="2" t="s">
        <v>14</v>
      </c>
      <c r="B131" s="2" t="n">
        <v>1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1</v>
      </c>
      <c r="H131" s="2" t="n">
        <v>0</v>
      </c>
      <c r="I131" s="2" t="n">
        <v>79</v>
      </c>
      <c r="K131" s="2" t="s">
        <v>15</v>
      </c>
      <c r="L131" s="2" t="s">
        <v>19</v>
      </c>
      <c r="M131" s="2" t="s">
        <v>20</v>
      </c>
      <c r="N131" s="2" t="n">
        <v>1</v>
      </c>
    </row>
    <row r="132" customFormat="false" ht="15" hidden="false" customHeight="false" outlineLevel="0" collapsed="false">
      <c r="A132" s="2" t="s">
        <v>14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33</v>
      </c>
      <c r="K132" s="2" t="s">
        <v>23</v>
      </c>
      <c r="L132" s="2" t="s">
        <v>19</v>
      </c>
      <c r="M132" s="2" t="s">
        <v>20</v>
      </c>
      <c r="N132" s="2" t="n">
        <v>0</v>
      </c>
    </row>
    <row r="133" customFormat="false" ht="15" hidden="false" customHeight="false" outlineLevel="0" collapsed="false">
      <c r="A133" s="2" t="s">
        <v>14</v>
      </c>
      <c r="B133" s="2" t="n">
        <v>1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67.9</v>
      </c>
      <c r="K133" s="2" t="s">
        <v>21</v>
      </c>
      <c r="L133" s="2" t="s">
        <v>19</v>
      </c>
      <c r="M133" s="2" t="s">
        <v>20</v>
      </c>
      <c r="N133" s="2" t="n">
        <v>0</v>
      </c>
    </row>
    <row r="134" customFormat="false" ht="15" hidden="false" customHeight="false" outlineLevel="0" collapsed="false">
      <c r="A134" s="2" t="s">
        <v>14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42.2</v>
      </c>
      <c r="K134" s="2" t="s">
        <v>23</v>
      </c>
      <c r="L134" s="2" t="s">
        <v>19</v>
      </c>
      <c r="M134" s="2" t="s">
        <v>17</v>
      </c>
      <c r="N134" s="2" t="n">
        <v>0</v>
      </c>
    </row>
    <row r="135" customFormat="false" ht="15" hidden="false" customHeight="false" outlineLevel="0" collapsed="false">
      <c r="A135" s="2" t="s">
        <v>14</v>
      </c>
      <c r="B135" s="2" t="n">
        <v>1</v>
      </c>
      <c r="C135" s="2" t="n">
        <v>1</v>
      </c>
      <c r="D135" s="2" t="n">
        <v>1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43.4</v>
      </c>
      <c r="K135" s="2" t="s">
        <v>18</v>
      </c>
      <c r="L135" s="2" t="s">
        <v>19</v>
      </c>
      <c r="M135" s="2" t="s">
        <v>17</v>
      </c>
      <c r="N135" s="2" t="n">
        <v>0</v>
      </c>
    </row>
    <row r="136" customFormat="false" ht="15" hidden="false" customHeight="false" outlineLevel="0" collapsed="false">
      <c r="A136" s="2" t="s">
        <v>14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54.4</v>
      </c>
      <c r="K136" s="2" t="s">
        <v>15</v>
      </c>
      <c r="L136" s="2" t="s">
        <v>19</v>
      </c>
      <c r="M136" s="2" t="s">
        <v>17</v>
      </c>
      <c r="N136" s="2" t="n">
        <v>0</v>
      </c>
    </row>
    <row r="137" customFormat="false" ht="15" hidden="false" customHeight="false" outlineLevel="0" collapsed="false">
      <c r="A137" s="2" t="s">
        <v>14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45.7</v>
      </c>
      <c r="K137" s="2" t="s">
        <v>23</v>
      </c>
      <c r="L137" s="2" t="s">
        <v>16</v>
      </c>
      <c r="M137" s="2" t="s">
        <v>22</v>
      </c>
      <c r="N137" s="2" t="n">
        <v>0</v>
      </c>
    </row>
    <row r="138" customFormat="false" ht="15" hidden="false" customHeight="false" outlineLevel="0" collapsed="false">
      <c r="A138" s="2" t="s">
        <v>14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1</v>
      </c>
      <c r="H138" s="2" t="n">
        <v>0</v>
      </c>
      <c r="I138" s="2" t="n">
        <v>32</v>
      </c>
      <c r="K138" s="2" t="s">
        <v>15</v>
      </c>
      <c r="L138" s="2" t="s">
        <v>19</v>
      </c>
      <c r="M138" s="2" t="s">
        <v>20</v>
      </c>
      <c r="N138" s="2" t="n">
        <v>3</v>
      </c>
    </row>
    <row r="139" customFormat="false" ht="15" hidden="false" customHeight="false" outlineLevel="0" collapsed="false">
      <c r="A139" s="2" t="s">
        <v>14</v>
      </c>
      <c r="B139" s="2" t="n">
        <v>1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70.9</v>
      </c>
      <c r="K139" s="2" t="s">
        <v>23</v>
      </c>
      <c r="L139" s="2" t="s">
        <v>16</v>
      </c>
      <c r="M139" s="2" t="s">
        <v>20</v>
      </c>
      <c r="N139" s="2" t="n">
        <v>0</v>
      </c>
    </row>
    <row r="140" customFormat="false" ht="15" hidden="false" customHeight="false" outlineLevel="0" collapsed="false">
      <c r="A140" s="2" t="s">
        <v>14</v>
      </c>
      <c r="B140" s="2" t="n">
        <v>1</v>
      </c>
      <c r="C140" s="2" t="n">
        <v>1</v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59.1</v>
      </c>
      <c r="K140" s="2" t="s">
        <v>18</v>
      </c>
      <c r="L140" s="2" t="s">
        <v>19</v>
      </c>
      <c r="M140" s="2" t="s">
        <v>17</v>
      </c>
      <c r="N140" s="2" t="n">
        <v>0</v>
      </c>
    </row>
    <row r="141" customFormat="false" ht="15" hidden="false" customHeight="false" outlineLevel="0" collapsed="false">
      <c r="A141" s="2" t="s">
        <v>14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62.4</v>
      </c>
      <c r="K141" s="2" t="s">
        <v>15</v>
      </c>
      <c r="L141" s="2" t="s">
        <v>19</v>
      </c>
      <c r="M141" s="2" t="s">
        <v>17</v>
      </c>
      <c r="N141" s="2" t="n">
        <v>0</v>
      </c>
    </row>
    <row r="142" customFormat="false" ht="15" hidden="false" customHeight="false" outlineLevel="0" collapsed="false">
      <c r="A142" s="2" t="s">
        <v>14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49.6</v>
      </c>
      <c r="K142" s="2" t="s">
        <v>23</v>
      </c>
      <c r="L142" s="2" t="s">
        <v>19</v>
      </c>
      <c r="M142" s="2" t="s">
        <v>20</v>
      </c>
      <c r="N142" s="2" t="n">
        <v>0</v>
      </c>
    </row>
    <row r="143" customFormat="false" ht="15" hidden="false" customHeight="false" outlineLevel="0" collapsed="false">
      <c r="A143" s="2" t="s">
        <v>14</v>
      </c>
      <c r="B143" s="2" t="n">
        <v>1</v>
      </c>
      <c r="C143" s="2" t="n">
        <v>1</v>
      </c>
      <c r="D143" s="2" t="n">
        <v>1</v>
      </c>
      <c r="E143" s="2" t="n">
        <v>1</v>
      </c>
      <c r="F143" s="2" t="n">
        <v>404.4</v>
      </c>
      <c r="G143" s="2" t="n">
        <v>0</v>
      </c>
      <c r="H143" s="2" t="n">
        <v>0</v>
      </c>
      <c r="I143" s="2" t="n">
        <v>80.6</v>
      </c>
      <c r="J143" s="2" t="n">
        <v>9</v>
      </c>
      <c r="K143" s="2" t="s">
        <v>18</v>
      </c>
      <c r="L143" s="2" t="s">
        <v>16</v>
      </c>
      <c r="M143" s="2" t="s">
        <v>20</v>
      </c>
      <c r="N143" s="2" t="n">
        <v>0</v>
      </c>
    </row>
    <row r="144" customFormat="false" ht="15" hidden="false" customHeight="false" outlineLevel="0" collapsed="false">
      <c r="A144" s="2" t="s">
        <v>14</v>
      </c>
      <c r="B144" s="2" t="n">
        <v>1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47.9</v>
      </c>
      <c r="K144" s="2" t="s">
        <v>15</v>
      </c>
      <c r="L144" s="2" t="s">
        <v>19</v>
      </c>
      <c r="M144" s="2" t="s">
        <v>20</v>
      </c>
      <c r="N144" s="2" t="n">
        <v>0</v>
      </c>
    </row>
    <row r="145" customFormat="false" ht="15" hidden="false" customHeight="false" outlineLevel="0" collapsed="false">
      <c r="A145" s="2" t="s">
        <v>14</v>
      </c>
      <c r="B145" s="2" t="n">
        <v>1</v>
      </c>
      <c r="C145" s="2" t="n">
        <v>1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54.8</v>
      </c>
      <c r="K145" s="2" t="s">
        <v>21</v>
      </c>
      <c r="L145" s="2" t="s">
        <v>19</v>
      </c>
      <c r="M145" s="2" t="s">
        <v>17</v>
      </c>
      <c r="N145" s="2" t="n">
        <v>0</v>
      </c>
    </row>
    <row r="146" customFormat="false" ht="15" hidden="false" customHeight="false" outlineLevel="0" collapsed="false">
      <c r="A146" s="2" t="s">
        <v>14</v>
      </c>
      <c r="B146" s="2" t="n">
        <v>1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1</v>
      </c>
      <c r="H146" s="2" t="n">
        <v>0</v>
      </c>
      <c r="I146" s="2" t="n">
        <v>53.9</v>
      </c>
      <c r="K146" s="2" t="s">
        <v>21</v>
      </c>
      <c r="L146" s="2" t="s">
        <v>19</v>
      </c>
      <c r="M146" s="2" t="s">
        <v>20</v>
      </c>
      <c r="N146" s="2" t="n">
        <v>1</v>
      </c>
    </row>
    <row r="147" customFormat="false" ht="15" hidden="false" customHeight="false" outlineLevel="0" collapsed="false">
      <c r="A147" s="2" t="s">
        <v>14</v>
      </c>
      <c r="B147" s="2" t="n">
        <v>1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41.3</v>
      </c>
      <c r="K147" s="2" t="s">
        <v>21</v>
      </c>
      <c r="L147" s="2" t="s">
        <v>19</v>
      </c>
      <c r="M147" s="2" t="s">
        <v>20</v>
      </c>
      <c r="N147" s="2" t="n">
        <v>0</v>
      </c>
    </row>
    <row r="148" customFormat="false" ht="15" hidden="false" customHeight="false" outlineLevel="0" collapsed="false">
      <c r="A148" s="2" t="s">
        <v>14</v>
      </c>
      <c r="B148" s="2" t="n">
        <v>1</v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38.9</v>
      </c>
      <c r="K148" s="2" t="s">
        <v>18</v>
      </c>
      <c r="L148" s="2" t="s">
        <v>19</v>
      </c>
      <c r="M148" s="2" t="s">
        <v>17</v>
      </c>
      <c r="N148" s="2" t="n">
        <v>0</v>
      </c>
    </row>
    <row r="149" customFormat="false" ht="15" hidden="false" customHeight="false" outlineLevel="0" collapsed="false">
      <c r="A149" s="2" t="s">
        <v>14</v>
      </c>
      <c r="B149" s="2" t="n">
        <v>1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63.6</v>
      </c>
      <c r="K149" s="2" t="s">
        <v>23</v>
      </c>
      <c r="L149" s="2" t="s">
        <v>16</v>
      </c>
      <c r="M149" s="2" t="s">
        <v>17</v>
      </c>
      <c r="N149" s="2" t="n">
        <v>0</v>
      </c>
    </row>
    <row r="150" customFormat="false" ht="15" hidden="false" customHeight="false" outlineLevel="0" collapsed="false">
      <c r="A150" s="2" t="s">
        <v>14</v>
      </c>
      <c r="B150" s="2" t="n">
        <v>1</v>
      </c>
      <c r="C150" s="2" t="n">
        <v>1</v>
      </c>
      <c r="D150" s="2" t="n">
        <v>1</v>
      </c>
      <c r="E150" s="2" t="n">
        <v>1</v>
      </c>
      <c r="F150" s="2" t="n">
        <v>577.94</v>
      </c>
      <c r="G150" s="2" t="n">
        <v>0</v>
      </c>
      <c r="H150" s="2" t="n">
        <v>0</v>
      </c>
      <c r="I150" s="2" t="n">
        <v>76.6</v>
      </c>
      <c r="J150" s="2" t="n">
        <v>9</v>
      </c>
      <c r="K150" s="2" t="s">
        <v>15</v>
      </c>
      <c r="L150" s="2" t="s">
        <v>19</v>
      </c>
      <c r="M150" s="2" t="s">
        <v>20</v>
      </c>
      <c r="N150" s="2" t="n">
        <v>0</v>
      </c>
    </row>
    <row r="151" customFormat="false" ht="15" hidden="false" customHeight="false" outlineLevel="0" collapsed="false">
      <c r="A151" s="2" t="s">
        <v>14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1</v>
      </c>
      <c r="H151" s="2" t="n">
        <v>0</v>
      </c>
      <c r="I151" s="2" t="n">
        <v>67.6</v>
      </c>
      <c r="K151" s="2" t="s">
        <v>18</v>
      </c>
      <c r="L151" s="2" t="s">
        <v>19</v>
      </c>
      <c r="M151" s="2" t="s">
        <v>22</v>
      </c>
      <c r="N151" s="2" t="n">
        <v>1</v>
      </c>
    </row>
    <row r="152" customFormat="false" ht="15" hidden="false" customHeight="false" outlineLevel="0" collapsed="false">
      <c r="A152" s="2" t="s">
        <v>14</v>
      </c>
      <c r="B152" s="2" t="n">
        <v>1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43.1</v>
      </c>
      <c r="K152" s="2" t="s">
        <v>15</v>
      </c>
      <c r="L152" s="2" t="s">
        <v>19</v>
      </c>
      <c r="M152" s="2" t="s">
        <v>22</v>
      </c>
      <c r="N152" s="2" t="n">
        <v>0</v>
      </c>
    </row>
    <row r="153" customFormat="false" ht="15" hidden="false" customHeight="false" outlineLevel="0" collapsed="false">
      <c r="A153" s="2" t="s">
        <v>14</v>
      </c>
      <c r="B153" s="2" t="n">
        <v>1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58.3</v>
      </c>
      <c r="K153" s="2" t="s">
        <v>23</v>
      </c>
      <c r="L153" s="2" t="s">
        <v>19</v>
      </c>
      <c r="M153" s="2" t="s">
        <v>20</v>
      </c>
      <c r="N153" s="2" t="n">
        <v>0</v>
      </c>
    </row>
    <row r="154" customFormat="false" ht="15" hidden="false" customHeight="false" outlineLevel="0" collapsed="false">
      <c r="A154" s="2" t="s">
        <v>14</v>
      </c>
      <c r="B154" s="2" t="n">
        <v>1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69.8</v>
      </c>
      <c r="K154" s="2" t="s">
        <v>21</v>
      </c>
      <c r="L154" s="2" t="s">
        <v>16</v>
      </c>
      <c r="M154" s="2" t="s">
        <v>20</v>
      </c>
      <c r="N154" s="2" t="n">
        <v>0</v>
      </c>
    </row>
    <row r="155" customFormat="false" ht="15" hidden="false" customHeight="false" outlineLevel="0" collapsed="false">
      <c r="A155" s="2" t="s">
        <v>14</v>
      </c>
      <c r="B155" s="2" t="n">
        <v>1</v>
      </c>
      <c r="C155" s="2" t="n">
        <v>1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K155" s="2" t="s">
        <v>23</v>
      </c>
      <c r="L155" s="2" t="s">
        <v>19</v>
      </c>
      <c r="M155" s="2" t="s">
        <v>20</v>
      </c>
      <c r="N155" s="2" t="n">
        <v>0</v>
      </c>
    </row>
    <row r="156" customFormat="false" ht="15" hidden="false" customHeight="false" outlineLevel="0" collapsed="false">
      <c r="A156" s="2" t="s">
        <v>14</v>
      </c>
      <c r="B156" s="2" t="n">
        <v>1</v>
      </c>
      <c r="C156" s="2" t="n">
        <v>1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41.9</v>
      </c>
      <c r="K156" s="2" t="s">
        <v>18</v>
      </c>
      <c r="L156" s="2" t="s">
        <v>19</v>
      </c>
      <c r="M156" s="2" t="s">
        <v>17</v>
      </c>
      <c r="N156" s="2" t="n">
        <v>0</v>
      </c>
    </row>
    <row r="157" customFormat="false" ht="15" hidden="false" customHeight="false" outlineLevel="0" collapsed="false">
      <c r="A157" s="2" t="s">
        <v>14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33.1</v>
      </c>
      <c r="K157" s="2" t="s">
        <v>15</v>
      </c>
      <c r="L157" s="2" t="s">
        <v>16</v>
      </c>
      <c r="M157" s="2" t="s">
        <v>20</v>
      </c>
      <c r="N157" s="2" t="n">
        <v>0</v>
      </c>
    </row>
    <row r="158" customFormat="false" ht="15" hidden="false" customHeight="false" outlineLevel="0" collapsed="false">
      <c r="A158" s="2" t="s">
        <v>14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58.6</v>
      </c>
      <c r="K158" s="2" t="s">
        <v>18</v>
      </c>
      <c r="L158" s="2" t="s">
        <v>19</v>
      </c>
      <c r="M158" s="2" t="s">
        <v>20</v>
      </c>
      <c r="N158" s="2" t="n">
        <v>0</v>
      </c>
    </row>
    <row r="159" customFormat="false" ht="15" hidden="false" customHeight="false" outlineLevel="0" collapsed="false">
      <c r="A159" s="2" t="s">
        <v>14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55.7</v>
      </c>
      <c r="K159" s="2" t="s">
        <v>15</v>
      </c>
      <c r="L159" s="2" t="s">
        <v>16</v>
      </c>
      <c r="M159" s="2" t="s">
        <v>20</v>
      </c>
      <c r="N159" s="2" t="n">
        <v>0</v>
      </c>
    </row>
    <row r="160" customFormat="false" ht="15" hidden="false" customHeight="false" outlineLevel="0" collapsed="false">
      <c r="A160" s="2" t="s">
        <v>14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1</v>
      </c>
      <c r="H160" s="2" t="n">
        <v>0</v>
      </c>
      <c r="I160" s="2" t="n">
        <v>64.9</v>
      </c>
      <c r="K160" s="2" t="s">
        <v>21</v>
      </c>
      <c r="L160" s="2" t="s">
        <v>19</v>
      </c>
      <c r="M160" s="2" t="s">
        <v>20</v>
      </c>
      <c r="N160" s="2" t="n">
        <v>2</v>
      </c>
    </row>
    <row r="161" customFormat="false" ht="15" hidden="false" customHeight="false" outlineLevel="0" collapsed="false">
      <c r="A161" s="2" t="s">
        <v>14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72.3</v>
      </c>
      <c r="K161" s="2" t="s">
        <v>15</v>
      </c>
      <c r="L161" s="2" t="s">
        <v>16</v>
      </c>
      <c r="M161" s="2" t="s">
        <v>17</v>
      </c>
      <c r="N161" s="2" t="n">
        <v>0</v>
      </c>
    </row>
    <row r="162" customFormat="false" ht="15" hidden="false" customHeight="false" outlineLevel="0" collapsed="false">
      <c r="A162" s="2" t="s">
        <v>14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42.1</v>
      </c>
      <c r="K162" s="2" t="s">
        <v>15</v>
      </c>
      <c r="L162" s="2" t="s">
        <v>19</v>
      </c>
      <c r="M162" s="2" t="s">
        <v>17</v>
      </c>
      <c r="N162" s="2" t="n">
        <v>0</v>
      </c>
    </row>
    <row r="163" customFormat="false" ht="15" hidden="false" customHeight="false" outlineLevel="0" collapsed="false">
      <c r="A163" s="2" t="s">
        <v>14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K163" s="2" t="s">
        <v>15</v>
      </c>
      <c r="L163" s="2" t="s">
        <v>19</v>
      </c>
      <c r="M163" s="2" t="s">
        <v>20</v>
      </c>
      <c r="N163" s="2" t="n">
        <v>0</v>
      </c>
    </row>
    <row r="164" customFormat="false" ht="15" hidden="false" customHeight="false" outlineLevel="0" collapsed="false">
      <c r="A164" s="2" t="s">
        <v>14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1</v>
      </c>
      <c r="H164" s="2" t="n">
        <v>0</v>
      </c>
      <c r="I164" s="2" t="n">
        <v>64.8</v>
      </c>
      <c r="K164" s="2" t="s">
        <v>23</v>
      </c>
      <c r="L164" s="2" t="s">
        <v>19</v>
      </c>
      <c r="M164" s="2" t="s">
        <v>17</v>
      </c>
      <c r="N164" s="2" t="n">
        <v>1</v>
      </c>
    </row>
    <row r="165" customFormat="false" ht="15" hidden="false" customHeight="false" outlineLevel="0" collapsed="false">
      <c r="A165" s="2" t="s">
        <v>14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72.1</v>
      </c>
      <c r="K165" s="2" t="s">
        <v>21</v>
      </c>
      <c r="L165" s="2" t="s">
        <v>19</v>
      </c>
      <c r="M165" s="2" t="s">
        <v>20</v>
      </c>
      <c r="N165" s="2" t="n">
        <v>0</v>
      </c>
    </row>
    <row r="166" customFormat="false" ht="15" hidden="false" customHeight="false" outlineLevel="0" collapsed="false">
      <c r="A166" s="2" t="s">
        <v>14</v>
      </c>
      <c r="B166" s="2" t="n">
        <v>1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50.6</v>
      </c>
      <c r="K166" s="2" t="s">
        <v>21</v>
      </c>
      <c r="L166" s="2" t="s">
        <v>19</v>
      </c>
      <c r="M166" s="2" t="s">
        <v>20</v>
      </c>
      <c r="N166" s="2" t="n">
        <v>0</v>
      </c>
    </row>
    <row r="167" customFormat="false" ht="15" hidden="false" customHeight="false" outlineLevel="0" collapsed="false">
      <c r="A167" s="2" t="s">
        <v>14</v>
      </c>
      <c r="B167" s="2" t="n">
        <v>1</v>
      </c>
      <c r="C167" s="2" t="n">
        <v>1</v>
      </c>
      <c r="D167" s="2" t="n">
        <v>1</v>
      </c>
      <c r="E167" s="2" t="n">
        <v>1</v>
      </c>
      <c r="F167" s="2" t="n">
        <v>1281.25</v>
      </c>
      <c r="G167" s="2" t="n">
        <v>1</v>
      </c>
      <c r="H167" s="2" t="n">
        <v>0</v>
      </c>
      <c r="I167" s="2" t="n">
        <v>43.4</v>
      </c>
      <c r="J167" s="2" t="n">
        <v>9</v>
      </c>
      <c r="K167" s="2" t="s">
        <v>15</v>
      </c>
      <c r="L167" s="2" t="s">
        <v>16</v>
      </c>
      <c r="M167" s="2" t="s">
        <v>17</v>
      </c>
      <c r="N167" s="2" t="n">
        <v>1</v>
      </c>
    </row>
    <row r="168" customFormat="false" ht="15" hidden="false" customHeight="false" outlineLevel="0" collapsed="false">
      <c r="A168" s="2" t="s">
        <v>14</v>
      </c>
      <c r="B168" s="2" t="n">
        <v>1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59.7</v>
      </c>
      <c r="K168" s="2" t="s">
        <v>23</v>
      </c>
      <c r="L168" s="2" t="s">
        <v>19</v>
      </c>
      <c r="M168" s="2" t="s">
        <v>20</v>
      </c>
      <c r="N168" s="2" t="n">
        <v>0</v>
      </c>
    </row>
    <row r="169" customFormat="false" ht="15" hidden="false" customHeight="false" outlineLevel="0" collapsed="false">
      <c r="A169" s="2" t="s">
        <v>14</v>
      </c>
      <c r="B169" s="2" t="n">
        <v>1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1</v>
      </c>
      <c r="H169" s="2" t="n">
        <v>0</v>
      </c>
      <c r="K169" s="2" t="s">
        <v>23</v>
      </c>
      <c r="L169" s="2" t="s">
        <v>19</v>
      </c>
      <c r="M169" s="2" t="s">
        <v>20</v>
      </c>
      <c r="N169" s="2" t="n">
        <v>1</v>
      </c>
    </row>
    <row r="170" customFormat="false" ht="15" hidden="false" customHeight="false" outlineLevel="0" collapsed="false">
      <c r="A170" s="2" t="s">
        <v>14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54.5</v>
      </c>
      <c r="K170" s="2" t="s">
        <v>18</v>
      </c>
      <c r="L170" s="2" t="s">
        <v>19</v>
      </c>
      <c r="M170" s="2" t="s">
        <v>17</v>
      </c>
      <c r="N170" s="2" t="n">
        <v>0</v>
      </c>
    </row>
    <row r="171" customFormat="false" ht="15" hidden="false" customHeight="false" outlineLevel="0" collapsed="false">
      <c r="A171" s="2" t="s">
        <v>14</v>
      </c>
      <c r="B171" s="2" t="n">
        <v>1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71.1</v>
      </c>
      <c r="K171" s="2" t="s">
        <v>15</v>
      </c>
      <c r="L171" s="2" t="s">
        <v>19</v>
      </c>
      <c r="M171" s="2" t="s">
        <v>20</v>
      </c>
      <c r="N171" s="2" t="n">
        <v>0</v>
      </c>
    </row>
    <row r="172" customFormat="false" ht="15" hidden="false" customHeight="false" outlineLevel="0" collapsed="false">
      <c r="A172" s="2" t="s">
        <v>14</v>
      </c>
      <c r="B172" s="2" t="n">
        <v>1</v>
      </c>
      <c r="C172" s="2" t="n">
        <v>1</v>
      </c>
      <c r="D172" s="2" t="n">
        <v>1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44.4</v>
      </c>
      <c r="K172" s="2" t="s">
        <v>21</v>
      </c>
      <c r="L172" s="2" t="s">
        <v>25</v>
      </c>
      <c r="M172" s="2" t="s">
        <v>20</v>
      </c>
      <c r="N172" s="2" t="n">
        <v>0</v>
      </c>
    </row>
    <row r="173" customFormat="false" ht="15" hidden="false" customHeight="false" outlineLevel="0" collapsed="false">
      <c r="A173" s="2" t="s">
        <v>14</v>
      </c>
      <c r="B173" s="2" t="n">
        <v>1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61.7</v>
      </c>
      <c r="K173" s="2" t="s">
        <v>15</v>
      </c>
      <c r="L173" s="2" t="s">
        <v>19</v>
      </c>
      <c r="M173" s="2" t="s">
        <v>20</v>
      </c>
      <c r="N173" s="2" t="n">
        <v>0</v>
      </c>
    </row>
    <row r="174" customFormat="false" ht="15" hidden="false" customHeight="false" outlineLevel="0" collapsed="false">
      <c r="A174" s="2" t="s">
        <v>14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1</v>
      </c>
      <c r="H174" s="2" t="n">
        <v>0</v>
      </c>
      <c r="I174" s="2" t="n">
        <v>81.3</v>
      </c>
      <c r="K174" s="2" t="s">
        <v>15</v>
      </c>
      <c r="L174" s="2" t="s">
        <v>24</v>
      </c>
      <c r="M174" s="2" t="s">
        <v>17</v>
      </c>
      <c r="N174" s="2" t="n">
        <v>1</v>
      </c>
    </row>
    <row r="175" customFormat="false" ht="15" hidden="false" customHeight="false" outlineLevel="0" collapsed="false">
      <c r="A175" s="2" t="s">
        <v>14</v>
      </c>
      <c r="B175" s="2" t="n">
        <v>1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1</v>
      </c>
      <c r="H175" s="2" t="n">
        <v>0</v>
      </c>
      <c r="I175" s="2" t="n">
        <v>28.7</v>
      </c>
      <c r="K175" s="2" t="s">
        <v>15</v>
      </c>
      <c r="L175" s="2" t="s">
        <v>16</v>
      </c>
      <c r="M175" s="2" t="s">
        <v>20</v>
      </c>
      <c r="N175" s="2" t="n">
        <v>2</v>
      </c>
    </row>
    <row r="176" customFormat="false" ht="15" hidden="false" customHeight="false" outlineLevel="0" collapsed="false">
      <c r="A176" s="2" t="s">
        <v>14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53</v>
      </c>
      <c r="K176" s="2" t="s">
        <v>21</v>
      </c>
      <c r="L176" s="2" t="s">
        <v>19</v>
      </c>
      <c r="M176" s="2" t="s">
        <v>17</v>
      </c>
      <c r="N176" s="2" t="n">
        <v>0</v>
      </c>
    </row>
    <row r="177" customFormat="false" ht="15" hidden="false" customHeight="false" outlineLevel="0" collapsed="false">
      <c r="A177" s="2" t="s">
        <v>14</v>
      </c>
      <c r="B177" s="2" t="n">
        <v>1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54.9</v>
      </c>
      <c r="K177" s="2" t="s">
        <v>23</v>
      </c>
      <c r="L177" s="2" t="s">
        <v>24</v>
      </c>
      <c r="M177" s="2" t="s">
        <v>17</v>
      </c>
      <c r="N177" s="2" t="n">
        <v>0</v>
      </c>
    </row>
    <row r="178" customFormat="false" ht="15" hidden="false" customHeight="false" outlineLevel="0" collapsed="false">
      <c r="A178" s="2" t="s">
        <v>14</v>
      </c>
      <c r="B178" s="2" t="n">
        <v>1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58.2</v>
      </c>
      <c r="K178" s="2" t="s">
        <v>18</v>
      </c>
      <c r="L178" s="2" t="s">
        <v>19</v>
      </c>
      <c r="M178" s="2" t="s">
        <v>17</v>
      </c>
      <c r="N178" s="2" t="n">
        <v>0</v>
      </c>
    </row>
    <row r="179" customFormat="false" ht="15" hidden="false" customHeight="false" outlineLevel="0" collapsed="false">
      <c r="A179" s="2" t="s">
        <v>14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80.6</v>
      </c>
      <c r="K179" s="2" t="s">
        <v>15</v>
      </c>
      <c r="L179" s="2" t="s">
        <v>19</v>
      </c>
      <c r="M179" s="2" t="s">
        <v>20</v>
      </c>
      <c r="N179" s="2" t="n">
        <v>0</v>
      </c>
    </row>
    <row r="180" customFormat="false" ht="15" hidden="false" customHeight="false" outlineLevel="0" collapsed="false">
      <c r="A180" s="2" t="s">
        <v>14</v>
      </c>
      <c r="B180" s="2" t="n">
        <v>1</v>
      </c>
      <c r="C180" s="2" t="n">
        <v>1</v>
      </c>
      <c r="D180" s="2" t="n">
        <v>1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38.4</v>
      </c>
      <c r="K180" s="2" t="s">
        <v>15</v>
      </c>
      <c r="L180" s="2" t="s">
        <v>16</v>
      </c>
      <c r="M180" s="2" t="s">
        <v>22</v>
      </c>
      <c r="N180" s="2" t="n">
        <v>0</v>
      </c>
    </row>
    <row r="181" customFormat="false" ht="15" hidden="false" customHeight="false" outlineLevel="0" collapsed="false">
      <c r="A181" s="2" t="s">
        <v>14</v>
      </c>
      <c r="B181" s="2" t="n">
        <v>1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56.1</v>
      </c>
      <c r="K181" s="2" t="s">
        <v>23</v>
      </c>
      <c r="L181" s="2" t="s">
        <v>19</v>
      </c>
      <c r="M181" s="2" t="s">
        <v>20</v>
      </c>
      <c r="N181" s="2" t="n">
        <v>0</v>
      </c>
    </row>
    <row r="182" customFormat="false" ht="15" hidden="false" customHeight="false" outlineLevel="0" collapsed="false">
      <c r="A182" s="2" t="s">
        <v>14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62.6</v>
      </c>
      <c r="K182" s="2" t="s">
        <v>18</v>
      </c>
      <c r="L182" s="2" t="s">
        <v>19</v>
      </c>
      <c r="M182" s="2" t="s">
        <v>20</v>
      </c>
      <c r="N182" s="2" t="n">
        <v>0</v>
      </c>
    </row>
    <row r="183" customFormat="false" ht="15" hidden="false" customHeight="false" outlineLevel="0" collapsed="false">
      <c r="A183" s="2" t="s">
        <v>14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36.3</v>
      </c>
      <c r="K183" s="2" t="s">
        <v>23</v>
      </c>
      <c r="L183" s="2" t="s">
        <v>19</v>
      </c>
      <c r="M183" s="2" t="s">
        <v>22</v>
      </c>
      <c r="N183" s="2" t="n">
        <v>0</v>
      </c>
    </row>
    <row r="184" customFormat="false" ht="15" hidden="false" customHeight="false" outlineLevel="0" collapsed="false">
      <c r="A184" s="2" t="s">
        <v>14</v>
      </c>
      <c r="B184" s="2" t="n">
        <v>1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52.1</v>
      </c>
      <c r="K184" s="2" t="s">
        <v>23</v>
      </c>
      <c r="L184" s="2" t="s">
        <v>19</v>
      </c>
      <c r="M184" s="2" t="s">
        <v>20</v>
      </c>
      <c r="N184" s="2" t="n">
        <v>0</v>
      </c>
    </row>
    <row r="185" customFormat="false" ht="15" hidden="false" customHeight="false" outlineLevel="0" collapsed="false">
      <c r="A185" s="2" t="s">
        <v>14</v>
      </c>
      <c r="B185" s="2" t="n">
        <v>1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45.1</v>
      </c>
      <c r="K185" s="2" t="s">
        <v>23</v>
      </c>
      <c r="L185" s="2" t="s">
        <v>19</v>
      </c>
      <c r="M185" s="2" t="s">
        <v>20</v>
      </c>
      <c r="N185" s="2" t="n">
        <v>0</v>
      </c>
    </row>
    <row r="186" customFormat="false" ht="15" hidden="false" customHeight="false" outlineLevel="0" collapsed="false">
      <c r="A186" s="2" t="s">
        <v>14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67.5</v>
      </c>
      <c r="K186" s="2" t="s">
        <v>23</v>
      </c>
      <c r="L186" s="2" t="s">
        <v>24</v>
      </c>
      <c r="M186" s="2" t="s">
        <v>22</v>
      </c>
      <c r="N186" s="2" t="n">
        <v>0</v>
      </c>
    </row>
    <row r="187" customFormat="false" ht="15" hidden="false" customHeight="false" outlineLevel="0" collapsed="false">
      <c r="A187" s="2" t="s">
        <v>14</v>
      </c>
      <c r="B187" s="2" t="n">
        <v>1</v>
      </c>
      <c r="C187" s="2" t="n">
        <v>1</v>
      </c>
      <c r="D187" s="2" t="n">
        <v>1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80</v>
      </c>
      <c r="K187" s="2" t="s">
        <v>21</v>
      </c>
      <c r="L187" s="2" t="s">
        <v>24</v>
      </c>
      <c r="M187" s="2" t="s">
        <v>17</v>
      </c>
      <c r="N187" s="2" t="n">
        <v>0</v>
      </c>
    </row>
    <row r="188" customFormat="false" ht="15" hidden="false" customHeight="false" outlineLevel="0" collapsed="false">
      <c r="A188" s="2" t="s">
        <v>14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56.4</v>
      </c>
      <c r="K188" s="2" t="s">
        <v>21</v>
      </c>
      <c r="L188" s="2" t="s">
        <v>16</v>
      </c>
      <c r="M188" s="2" t="s">
        <v>20</v>
      </c>
      <c r="N188" s="2" t="n">
        <v>0</v>
      </c>
    </row>
    <row r="189" customFormat="false" ht="15" hidden="false" customHeight="false" outlineLevel="0" collapsed="false">
      <c r="A189" s="2" t="s">
        <v>14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55.4</v>
      </c>
      <c r="K189" s="2" t="s">
        <v>18</v>
      </c>
      <c r="L189" s="2" t="s">
        <v>19</v>
      </c>
      <c r="M189" s="2" t="s">
        <v>17</v>
      </c>
      <c r="N189" s="2" t="n">
        <v>0</v>
      </c>
    </row>
    <row r="190" customFormat="false" ht="15" hidden="false" customHeight="false" outlineLevel="0" collapsed="false">
      <c r="A190" s="2" t="s">
        <v>14</v>
      </c>
      <c r="B190" s="2" t="n">
        <v>1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67.9</v>
      </c>
      <c r="K190" s="2" t="s">
        <v>23</v>
      </c>
      <c r="L190" s="2" t="s">
        <v>19</v>
      </c>
      <c r="M190" s="2" t="s">
        <v>17</v>
      </c>
      <c r="N190" s="2" t="n">
        <v>0</v>
      </c>
    </row>
    <row r="191" customFormat="false" ht="15" hidden="false" customHeight="false" outlineLevel="0" collapsed="false">
      <c r="A191" s="2" t="s">
        <v>14</v>
      </c>
      <c r="B191" s="2" t="n">
        <v>1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62.5</v>
      </c>
      <c r="K191" s="2" t="s">
        <v>15</v>
      </c>
      <c r="L191" s="2" t="s">
        <v>24</v>
      </c>
      <c r="M191" s="2" t="s">
        <v>20</v>
      </c>
      <c r="N191" s="2" t="n">
        <v>0</v>
      </c>
    </row>
    <row r="192" customFormat="false" ht="15" hidden="false" customHeight="false" outlineLevel="0" collapsed="false">
      <c r="A192" s="2" t="s">
        <v>14</v>
      </c>
      <c r="B192" s="2" t="n">
        <v>1</v>
      </c>
      <c r="C192" s="2" t="n">
        <v>1</v>
      </c>
      <c r="D192" s="2" t="n">
        <v>1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54.3</v>
      </c>
      <c r="K192" s="2" t="s">
        <v>23</v>
      </c>
      <c r="L192" s="2" t="s">
        <v>16</v>
      </c>
      <c r="M192" s="2" t="s">
        <v>17</v>
      </c>
      <c r="N192" s="2" t="n">
        <v>0</v>
      </c>
    </row>
    <row r="193" customFormat="false" ht="15" hidden="false" customHeight="false" outlineLevel="0" collapsed="false">
      <c r="A193" s="2" t="s">
        <v>14</v>
      </c>
      <c r="B193" s="2" t="n">
        <v>1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37.5</v>
      </c>
      <c r="K193" s="2" t="s">
        <v>23</v>
      </c>
      <c r="L193" s="2" t="s">
        <v>16</v>
      </c>
      <c r="M193" s="2" t="s">
        <v>17</v>
      </c>
      <c r="N193" s="2" t="n">
        <v>0</v>
      </c>
    </row>
    <row r="194" customFormat="false" ht="15" hidden="false" customHeight="false" outlineLevel="0" collapsed="false">
      <c r="A194" s="2" t="s">
        <v>14</v>
      </c>
      <c r="B194" s="2" t="n">
        <v>1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52.6</v>
      </c>
      <c r="K194" s="2" t="s">
        <v>18</v>
      </c>
      <c r="L194" s="2" t="s">
        <v>19</v>
      </c>
      <c r="M194" s="2" t="s">
        <v>17</v>
      </c>
      <c r="N194" s="2" t="n">
        <v>0</v>
      </c>
    </row>
    <row r="195" customFormat="false" ht="15" hidden="false" customHeight="false" outlineLevel="0" collapsed="false">
      <c r="A195" s="2" t="s">
        <v>14</v>
      </c>
      <c r="B195" s="2" t="n">
        <v>1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46.1</v>
      </c>
      <c r="K195" s="2" t="s">
        <v>15</v>
      </c>
      <c r="L195" s="2" t="s">
        <v>19</v>
      </c>
      <c r="M195" s="2" t="s">
        <v>20</v>
      </c>
      <c r="N195" s="2" t="n">
        <v>0</v>
      </c>
    </row>
    <row r="196" customFormat="false" ht="15" hidden="false" customHeight="false" outlineLevel="0" collapsed="false">
      <c r="A196" s="2" t="s">
        <v>14</v>
      </c>
      <c r="B196" s="2" t="n">
        <v>1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54.7</v>
      </c>
      <c r="K196" s="2" t="s">
        <v>23</v>
      </c>
      <c r="L196" s="2" t="s">
        <v>16</v>
      </c>
      <c r="M196" s="2" t="s">
        <v>17</v>
      </c>
      <c r="N196" s="2" t="n">
        <v>0</v>
      </c>
    </row>
    <row r="197" customFormat="false" ht="15" hidden="false" customHeight="false" outlineLevel="0" collapsed="false">
      <c r="A197" s="2" t="s">
        <v>14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74.2</v>
      </c>
      <c r="K197" s="2" t="s">
        <v>18</v>
      </c>
      <c r="L197" s="2" t="s">
        <v>16</v>
      </c>
      <c r="M197" s="2" t="s">
        <v>17</v>
      </c>
      <c r="N197" s="2" t="n">
        <v>0</v>
      </c>
    </row>
    <row r="198" customFormat="false" ht="15" hidden="false" customHeight="false" outlineLevel="0" collapsed="false">
      <c r="A198" s="2" t="s">
        <v>14</v>
      </c>
      <c r="B198" s="2" t="n">
        <v>1</v>
      </c>
      <c r="C198" s="2" t="n">
        <v>1</v>
      </c>
      <c r="D198" s="2" t="n">
        <v>1</v>
      </c>
      <c r="E198" s="2" t="n">
        <v>1</v>
      </c>
      <c r="F198" s="2" t="n">
        <v>1052.8</v>
      </c>
      <c r="G198" s="2" t="n">
        <v>1</v>
      </c>
      <c r="H198" s="2" t="n">
        <v>0</v>
      </c>
      <c r="I198" s="2" t="n">
        <v>64.7</v>
      </c>
      <c r="J198" s="2" t="n">
        <v>6</v>
      </c>
      <c r="K198" s="2" t="s">
        <v>15</v>
      </c>
      <c r="L198" s="2" t="s">
        <v>19</v>
      </c>
      <c r="M198" s="2" t="s">
        <v>17</v>
      </c>
      <c r="N198" s="2" t="n">
        <v>2</v>
      </c>
    </row>
    <row r="199" customFormat="false" ht="15" hidden="false" customHeight="false" outlineLevel="0" collapsed="false">
      <c r="A199" s="2" t="s">
        <v>14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65.9</v>
      </c>
      <c r="K199" s="2" t="s">
        <v>23</v>
      </c>
      <c r="L199" s="2" t="s">
        <v>19</v>
      </c>
      <c r="M199" s="2" t="s">
        <v>17</v>
      </c>
      <c r="N199" s="2" t="n">
        <v>0</v>
      </c>
    </row>
    <row r="200" customFormat="false" ht="15" hidden="false" customHeight="false" outlineLevel="0" collapsed="false">
      <c r="A200" s="2" t="s">
        <v>14</v>
      </c>
      <c r="B200" s="2" t="n">
        <v>1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64</v>
      </c>
      <c r="K200" s="2" t="s">
        <v>15</v>
      </c>
      <c r="L200" s="2" t="s">
        <v>19</v>
      </c>
      <c r="M200" s="2" t="s">
        <v>17</v>
      </c>
      <c r="N200" s="2" t="n">
        <v>0</v>
      </c>
    </row>
    <row r="201" customFormat="false" ht="15" hidden="false" customHeight="false" outlineLevel="0" collapsed="false">
      <c r="A201" s="2" t="s">
        <v>14</v>
      </c>
      <c r="B201" s="2" t="n">
        <v>1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57.2</v>
      </c>
      <c r="K201" s="2" t="s">
        <v>15</v>
      </c>
      <c r="L201" s="2" t="s">
        <v>19</v>
      </c>
      <c r="M201" s="2" t="s">
        <v>22</v>
      </c>
      <c r="N201" s="2" t="n">
        <v>0</v>
      </c>
    </row>
    <row r="202" customFormat="false" ht="15" hidden="false" customHeight="false" outlineLevel="0" collapsed="false">
      <c r="A202" s="2" t="s">
        <v>14</v>
      </c>
      <c r="B202" s="2" t="n">
        <v>1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80.5</v>
      </c>
      <c r="K202" s="2" t="s">
        <v>18</v>
      </c>
      <c r="L202" s="2" t="s">
        <v>16</v>
      </c>
      <c r="M202" s="2" t="s">
        <v>20</v>
      </c>
      <c r="N202" s="2" t="n">
        <v>0</v>
      </c>
    </row>
    <row r="203" customFormat="false" ht="15" hidden="false" customHeight="false" outlineLevel="0" collapsed="false">
      <c r="A203" s="2" t="s">
        <v>14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53.9</v>
      </c>
      <c r="K203" s="2" t="s">
        <v>23</v>
      </c>
      <c r="L203" s="2" t="s">
        <v>24</v>
      </c>
      <c r="M203" s="2" t="s">
        <v>20</v>
      </c>
      <c r="N203" s="2" t="n">
        <v>0</v>
      </c>
    </row>
    <row r="204" customFormat="false" ht="15" hidden="false" customHeight="false" outlineLevel="0" collapsed="false">
      <c r="A204" s="2" t="s">
        <v>14</v>
      </c>
      <c r="B204" s="2" t="n">
        <v>1</v>
      </c>
      <c r="C204" s="2" t="n">
        <v>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77.5</v>
      </c>
      <c r="K204" s="2" t="s">
        <v>15</v>
      </c>
      <c r="L204" s="2" t="s">
        <v>19</v>
      </c>
      <c r="M204" s="2" t="s">
        <v>20</v>
      </c>
      <c r="N204" s="2" t="n">
        <v>0</v>
      </c>
    </row>
    <row r="205" customFormat="false" ht="15" hidden="false" customHeight="false" outlineLevel="0" collapsed="false">
      <c r="A205" s="2" t="s">
        <v>14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84.2</v>
      </c>
      <c r="K205" s="2" t="s">
        <v>21</v>
      </c>
      <c r="L205" s="2" t="s">
        <v>19</v>
      </c>
      <c r="M205" s="2" t="s">
        <v>17</v>
      </c>
      <c r="N205" s="2" t="n">
        <v>0</v>
      </c>
    </row>
    <row r="206" customFormat="false" ht="15" hidden="false" customHeight="false" outlineLevel="0" collapsed="false">
      <c r="A206" s="2" t="s">
        <v>14</v>
      </c>
      <c r="B206" s="2" t="n">
        <v>1</v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54.9</v>
      </c>
      <c r="K206" s="2" t="s">
        <v>18</v>
      </c>
      <c r="L206" s="2" t="s">
        <v>16</v>
      </c>
      <c r="M206" s="2" t="s">
        <v>20</v>
      </c>
      <c r="N206" s="2" t="n">
        <v>0</v>
      </c>
    </row>
    <row r="207" customFormat="false" ht="15" hidden="false" customHeight="false" outlineLevel="0" collapsed="false">
      <c r="A207" s="2" t="s">
        <v>14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69.3</v>
      </c>
      <c r="K207" s="2" t="s">
        <v>23</v>
      </c>
      <c r="L207" s="2" t="s">
        <v>19</v>
      </c>
      <c r="M207" s="2" t="s">
        <v>20</v>
      </c>
      <c r="N207" s="2" t="n">
        <v>0</v>
      </c>
    </row>
    <row r="208" customFormat="false" ht="15" hidden="false" customHeight="false" outlineLevel="0" collapsed="false">
      <c r="A208" s="2" t="s">
        <v>14</v>
      </c>
      <c r="B208" s="2" t="n">
        <v>1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1</v>
      </c>
      <c r="H208" s="2" t="n">
        <v>0</v>
      </c>
      <c r="I208" s="2" t="n">
        <v>42.3</v>
      </c>
      <c r="K208" s="2" t="s">
        <v>23</v>
      </c>
      <c r="L208" s="2" t="s">
        <v>16</v>
      </c>
      <c r="M208" s="2" t="s">
        <v>20</v>
      </c>
      <c r="N208" s="2" t="n">
        <v>2</v>
      </c>
    </row>
    <row r="209" customFormat="false" ht="15" hidden="false" customHeight="false" outlineLevel="0" collapsed="false">
      <c r="A209" s="2" t="s">
        <v>14</v>
      </c>
      <c r="B209" s="2" t="n">
        <v>1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1</v>
      </c>
      <c r="H209" s="2" t="n">
        <v>0</v>
      </c>
      <c r="I209" s="2" t="n">
        <v>69.6</v>
      </c>
      <c r="K209" s="2" t="s">
        <v>15</v>
      </c>
      <c r="L209" s="2" t="s">
        <v>16</v>
      </c>
      <c r="M209" s="2" t="s">
        <v>22</v>
      </c>
      <c r="N209" s="2" t="n">
        <v>1</v>
      </c>
    </row>
    <row r="210" customFormat="false" ht="15" hidden="false" customHeight="false" outlineLevel="0" collapsed="false">
      <c r="A210" s="2" t="s">
        <v>14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40.7</v>
      </c>
      <c r="K210" s="2" t="s">
        <v>21</v>
      </c>
      <c r="L210" s="2" t="s">
        <v>19</v>
      </c>
      <c r="M210" s="2" t="s">
        <v>20</v>
      </c>
      <c r="N210" s="2" t="n">
        <v>0</v>
      </c>
    </row>
    <row r="211" customFormat="false" ht="15" hidden="false" customHeight="false" outlineLevel="0" collapsed="false">
      <c r="A211" s="2" t="s">
        <v>14</v>
      </c>
      <c r="B211" s="2" t="n">
        <v>1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54</v>
      </c>
      <c r="K211" s="2" t="s">
        <v>15</v>
      </c>
      <c r="L211" s="2" t="s">
        <v>19</v>
      </c>
      <c r="M211" s="2" t="s">
        <v>20</v>
      </c>
      <c r="N211" s="2" t="n">
        <v>0</v>
      </c>
    </row>
    <row r="212" customFormat="false" ht="15" hidden="false" customHeight="false" outlineLevel="0" collapsed="false">
      <c r="A212" s="2" t="s">
        <v>14</v>
      </c>
      <c r="B212" s="2" t="n">
        <v>1</v>
      </c>
      <c r="C212" s="2" t="n">
        <v>1</v>
      </c>
      <c r="D212" s="2" t="n">
        <v>1</v>
      </c>
      <c r="E212" s="2" t="n">
        <v>1</v>
      </c>
      <c r="F212" s="2" t="n">
        <v>553.37</v>
      </c>
      <c r="G212" s="2" t="n">
        <v>0</v>
      </c>
      <c r="H212" s="2" t="n">
        <v>0</v>
      </c>
      <c r="I212" s="2" t="n">
        <v>46.3</v>
      </c>
      <c r="J212" s="2" t="n">
        <v>5</v>
      </c>
      <c r="K212" s="2" t="s">
        <v>21</v>
      </c>
      <c r="L212" s="2" t="s">
        <v>25</v>
      </c>
      <c r="M212" s="2" t="s">
        <v>20</v>
      </c>
      <c r="N212" s="2" t="n">
        <v>0</v>
      </c>
    </row>
    <row r="213" customFormat="false" ht="15" hidden="false" customHeight="false" outlineLevel="0" collapsed="false">
      <c r="A213" s="2" t="s">
        <v>14</v>
      </c>
      <c r="B213" s="2" t="n">
        <v>1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64.2</v>
      </c>
      <c r="K213" s="2" t="s">
        <v>21</v>
      </c>
      <c r="L213" s="2" t="s">
        <v>19</v>
      </c>
      <c r="M213" s="2" t="s">
        <v>20</v>
      </c>
      <c r="N213" s="2" t="n">
        <v>0</v>
      </c>
    </row>
    <row r="214" customFormat="false" ht="15" hidden="false" customHeight="false" outlineLevel="0" collapsed="false">
      <c r="A214" s="2" t="s">
        <v>14</v>
      </c>
      <c r="B214" s="2" t="n">
        <v>1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75.2</v>
      </c>
      <c r="K214" s="2" t="s">
        <v>15</v>
      </c>
      <c r="L214" s="2" t="s">
        <v>16</v>
      </c>
      <c r="M214" s="2" t="s">
        <v>20</v>
      </c>
      <c r="N214" s="2" t="n">
        <v>0</v>
      </c>
    </row>
    <row r="215" customFormat="false" ht="15" hidden="false" customHeight="false" outlineLevel="0" collapsed="false">
      <c r="A215" s="2" t="s">
        <v>14</v>
      </c>
      <c r="B215" s="2" t="n">
        <v>1</v>
      </c>
      <c r="C215" s="2" t="n">
        <v>1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60.9</v>
      </c>
      <c r="K215" s="2" t="s">
        <v>21</v>
      </c>
      <c r="L215" s="2" t="s">
        <v>16</v>
      </c>
      <c r="M215" s="2" t="s">
        <v>20</v>
      </c>
      <c r="N215" s="2" t="n">
        <v>0</v>
      </c>
    </row>
    <row r="216" customFormat="false" ht="15" hidden="false" customHeight="false" outlineLevel="0" collapsed="false">
      <c r="A216" s="2" t="s">
        <v>14</v>
      </c>
      <c r="B216" s="2" t="n">
        <v>1</v>
      </c>
      <c r="C216" s="2" t="n">
        <v>1</v>
      </c>
      <c r="D216" s="2" t="n">
        <v>1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62.1</v>
      </c>
      <c r="K216" s="2" t="s">
        <v>23</v>
      </c>
      <c r="L216" s="2" t="s">
        <v>19</v>
      </c>
      <c r="M216" s="2" t="s">
        <v>17</v>
      </c>
      <c r="N216" s="2" t="n">
        <v>0</v>
      </c>
    </row>
    <row r="217" customFormat="false" ht="15" hidden="false" customHeight="false" outlineLevel="0" collapsed="false">
      <c r="A217" s="2" t="s">
        <v>14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45.4</v>
      </c>
      <c r="K217" s="2" t="s">
        <v>23</v>
      </c>
      <c r="L217" s="2" t="s">
        <v>19</v>
      </c>
      <c r="M217" s="2" t="s">
        <v>17</v>
      </c>
      <c r="N217" s="2" t="n">
        <v>0</v>
      </c>
    </row>
    <row r="218" customFormat="false" ht="15" hidden="false" customHeight="false" outlineLevel="0" collapsed="false">
      <c r="A218" s="2" t="s">
        <v>14</v>
      </c>
      <c r="B218" s="2" t="n">
        <v>1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53.3</v>
      </c>
      <c r="K218" s="2" t="s">
        <v>15</v>
      </c>
      <c r="L218" s="2" t="s">
        <v>19</v>
      </c>
      <c r="M218" s="2" t="s">
        <v>17</v>
      </c>
      <c r="N218" s="2" t="n">
        <v>0</v>
      </c>
    </row>
    <row r="219" customFormat="false" ht="15" hidden="false" customHeight="false" outlineLevel="0" collapsed="false">
      <c r="A219" s="2" t="s">
        <v>14</v>
      </c>
      <c r="B219" s="2" t="n">
        <v>1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K219" s="2" t="s">
        <v>15</v>
      </c>
      <c r="L219" s="2" t="s">
        <v>24</v>
      </c>
      <c r="M219" s="2" t="s">
        <v>20</v>
      </c>
      <c r="N219" s="2" t="n">
        <v>0</v>
      </c>
    </row>
    <row r="220" customFormat="false" ht="15" hidden="false" customHeight="false" outlineLevel="0" collapsed="false">
      <c r="A220" s="2" t="s">
        <v>14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1</v>
      </c>
      <c r="H220" s="2" t="n">
        <v>0</v>
      </c>
      <c r="I220" s="2" t="n">
        <v>38.2</v>
      </c>
      <c r="K220" s="2" t="s">
        <v>21</v>
      </c>
      <c r="L220" s="2" t="s">
        <v>19</v>
      </c>
      <c r="M220" s="2" t="s">
        <v>20</v>
      </c>
      <c r="N220" s="2" t="n">
        <v>1</v>
      </c>
    </row>
    <row r="221" customFormat="false" ht="15" hidden="false" customHeight="false" outlineLevel="0" collapsed="false">
      <c r="A221" s="2" t="s">
        <v>14</v>
      </c>
      <c r="B221" s="2" t="n">
        <v>1</v>
      </c>
      <c r="C221" s="2" t="n">
        <v>1</v>
      </c>
      <c r="D221" s="2" t="n">
        <v>0</v>
      </c>
      <c r="E221" s="2" t="n">
        <v>0</v>
      </c>
      <c r="F221" s="2" t="n">
        <v>0</v>
      </c>
      <c r="G221" s="2" t="n">
        <v>1</v>
      </c>
      <c r="H221" s="2" t="n">
        <v>0</v>
      </c>
      <c r="I221" s="2" t="n">
        <v>59</v>
      </c>
      <c r="K221" s="2" t="s">
        <v>18</v>
      </c>
      <c r="L221" s="2" t="s">
        <v>19</v>
      </c>
      <c r="M221" s="2" t="s">
        <v>20</v>
      </c>
      <c r="N221" s="2" t="n">
        <v>3</v>
      </c>
    </row>
    <row r="222" customFormat="false" ht="15" hidden="false" customHeight="false" outlineLevel="0" collapsed="false">
      <c r="A222" s="2" t="s">
        <v>14</v>
      </c>
      <c r="B222" s="2" t="n">
        <v>1</v>
      </c>
      <c r="C222" s="2" t="n">
        <v>1</v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80.6</v>
      </c>
      <c r="K222" s="2" t="s">
        <v>21</v>
      </c>
      <c r="L222" s="2" t="s">
        <v>24</v>
      </c>
      <c r="M222" s="2" t="s">
        <v>22</v>
      </c>
      <c r="N222" s="2" t="n">
        <v>0</v>
      </c>
    </row>
    <row r="223" customFormat="false" ht="15" hidden="false" customHeight="false" outlineLevel="0" collapsed="false">
      <c r="A223" s="2" t="s">
        <v>14</v>
      </c>
      <c r="B223" s="2" t="n">
        <v>1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67</v>
      </c>
      <c r="K223" s="2" t="s">
        <v>23</v>
      </c>
      <c r="L223" s="2" t="s">
        <v>19</v>
      </c>
      <c r="M223" s="2" t="s">
        <v>20</v>
      </c>
      <c r="N223" s="2" t="n">
        <v>0</v>
      </c>
    </row>
    <row r="224" customFormat="false" ht="15" hidden="false" customHeight="false" outlineLevel="0" collapsed="false">
      <c r="A224" s="2" t="s">
        <v>14</v>
      </c>
      <c r="B224" s="2" t="n">
        <v>1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1</v>
      </c>
      <c r="H224" s="2" t="n">
        <v>0</v>
      </c>
      <c r="I224" s="2" t="n">
        <v>72.1</v>
      </c>
      <c r="K224" s="2" t="s">
        <v>18</v>
      </c>
      <c r="L224" s="2" t="s">
        <v>19</v>
      </c>
      <c r="M224" s="2" t="s">
        <v>20</v>
      </c>
      <c r="N224" s="2" t="n">
        <v>1</v>
      </c>
    </row>
    <row r="225" customFormat="false" ht="15" hidden="false" customHeight="false" outlineLevel="0" collapsed="false">
      <c r="A225" s="2" t="s">
        <v>14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74.1</v>
      </c>
      <c r="K225" s="2" t="s">
        <v>18</v>
      </c>
      <c r="L225" s="2" t="s">
        <v>16</v>
      </c>
      <c r="M225" s="2" t="s">
        <v>20</v>
      </c>
      <c r="N225" s="2" t="n">
        <v>0</v>
      </c>
    </row>
    <row r="226" customFormat="false" ht="15" hidden="false" customHeight="false" outlineLevel="0" collapsed="false">
      <c r="A226" s="2" t="s">
        <v>14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84.8</v>
      </c>
      <c r="K226" s="2" t="s">
        <v>23</v>
      </c>
      <c r="L226" s="2" t="s">
        <v>19</v>
      </c>
      <c r="M226" s="2" t="s">
        <v>22</v>
      </c>
      <c r="N226" s="2" t="n">
        <v>0</v>
      </c>
    </row>
    <row r="227" customFormat="false" ht="15" hidden="false" customHeight="false" outlineLevel="0" collapsed="false">
      <c r="A227" s="2" t="s">
        <v>14</v>
      </c>
      <c r="B227" s="2" t="n">
        <v>1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33</v>
      </c>
      <c r="K227" s="2" t="s">
        <v>23</v>
      </c>
      <c r="L227" s="2" t="s">
        <v>19</v>
      </c>
      <c r="M227" s="2" t="s">
        <v>17</v>
      </c>
      <c r="N227" s="2" t="n">
        <v>0</v>
      </c>
    </row>
    <row r="228" customFormat="false" ht="15" hidden="false" customHeight="false" outlineLevel="0" collapsed="false">
      <c r="A228" s="2" t="s">
        <v>14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52.5</v>
      </c>
      <c r="K228" s="2" t="s">
        <v>15</v>
      </c>
      <c r="L228" s="2" t="s">
        <v>24</v>
      </c>
      <c r="M228" s="2" t="s">
        <v>20</v>
      </c>
      <c r="N228" s="2" t="n">
        <v>0</v>
      </c>
    </row>
    <row r="229" customFormat="false" ht="15" hidden="false" customHeight="false" outlineLevel="0" collapsed="false">
      <c r="A229" s="2" t="s">
        <v>14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66.9</v>
      </c>
      <c r="K229" s="2" t="s">
        <v>15</v>
      </c>
      <c r="L229" s="2" t="s">
        <v>24</v>
      </c>
      <c r="M229" s="2" t="s">
        <v>20</v>
      </c>
      <c r="N229" s="2" t="n">
        <v>0</v>
      </c>
    </row>
    <row r="230" customFormat="false" ht="15" hidden="false" customHeight="false" outlineLevel="0" collapsed="false">
      <c r="A230" s="2" t="s">
        <v>14</v>
      </c>
      <c r="B230" s="2" t="n">
        <v>1</v>
      </c>
      <c r="C230" s="2" t="n">
        <v>1</v>
      </c>
      <c r="D230" s="2" t="n">
        <v>1</v>
      </c>
      <c r="E230" s="2" t="n">
        <v>0</v>
      </c>
      <c r="F230" s="2" t="n">
        <v>0</v>
      </c>
      <c r="G230" s="2" t="n">
        <v>1</v>
      </c>
      <c r="H230" s="2" t="n">
        <v>0</v>
      </c>
      <c r="I230" s="2" t="n">
        <v>32.7</v>
      </c>
      <c r="K230" s="2" t="s">
        <v>15</v>
      </c>
      <c r="L230" s="2" t="s">
        <v>19</v>
      </c>
      <c r="M230" s="2" t="s">
        <v>17</v>
      </c>
      <c r="N230" s="2" t="n">
        <v>1</v>
      </c>
    </row>
    <row r="231" customFormat="false" ht="15" hidden="false" customHeight="false" outlineLevel="0" collapsed="false">
      <c r="A231" s="2" t="s">
        <v>14</v>
      </c>
      <c r="B231" s="2" t="n">
        <v>1</v>
      </c>
      <c r="C231" s="2" t="n">
        <v>1</v>
      </c>
      <c r="D231" s="2" t="n">
        <v>1</v>
      </c>
      <c r="E231" s="2" t="n">
        <v>0</v>
      </c>
      <c r="F231" s="2" t="n">
        <v>0</v>
      </c>
      <c r="G231" s="2" t="n">
        <v>1</v>
      </c>
      <c r="H231" s="2" t="n">
        <v>0</v>
      </c>
      <c r="I231" s="2" t="n">
        <v>70.6</v>
      </c>
      <c r="K231" s="2" t="s">
        <v>18</v>
      </c>
      <c r="L231" s="2" t="s">
        <v>19</v>
      </c>
      <c r="M231" s="2" t="s">
        <v>22</v>
      </c>
      <c r="N231" s="2" t="n">
        <v>1</v>
      </c>
    </row>
    <row r="232" customFormat="false" ht="15" hidden="false" customHeight="false" outlineLevel="0" collapsed="false">
      <c r="A232" s="2" t="s">
        <v>14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69.4</v>
      </c>
      <c r="K232" s="2" t="s">
        <v>15</v>
      </c>
      <c r="L232" s="2" t="s">
        <v>19</v>
      </c>
      <c r="M232" s="2" t="s">
        <v>20</v>
      </c>
      <c r="N232" s="2" t="n">
        <v>0</v>
      </c>
    </row>
    <row r="233" customFormat="false" ht="15" hidden="false" customHeight="false" outlineLevel="0" collapsed="false">
      <c r="A233" s="2" t="s">
        <v>14</v>
      </c>
      <c r="B233" s="2" t="n">
        <v>1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56.1</v>
      </c>
      <c r="K233" s="2" t="s">
        <v>15</v>
      </c>
      <c r="L233" s="2" t="s">
        <v>16</v>
      </c>
      <c r="M233" s="2" t="s">
        <v>17</v>
      </c>
      <c r="N233" s="2" t="n">
        <v>0</v>
      </c>
    </row>
    <row r="234" customFormat="false" ht="15" hidden="false" customHeight="false" outlineLevel="0" collapsed="false">
      <c r="A234" s="2" t="s">
        <v>14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55.8</v>
      </c>
      <c r="K234" s="2" t="s">
        <v>18</v>
      </c>
      <c r="L234" s="2" t="s">
        <v>19</v>
      </c>
      <c r="M234" s="2" t="s">
        <v>17</v>
      </c>
      <c r="N234" s="2" t="n">
        <v>0</v>
      </c>
    </row>
    <row r="235" customFormat="false" ht="15" hidden="false" customHeight="false" outlineLevel="0" collapsed="false">
      <c r="A235" s="2" t="s">
        <v>14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49.3</v>
      </c>
      <c r="K235" s="2" t="s">
        <v>15</v>
      </c>
      <c r="L235" s="2" t="s">
        <v>24</v>
      </c>
      <c r="M235" s="2" t="s">
        <v>20</v>
      </c>
      <c r="N235" s="2" t="n">
        <v>0</v>
      </c>
    </row>
    <row r="236" customFormat="false" ht="15" hidden="false" customHeight="false" outlineLevel="0" collapsed="false">
      <c r="A236" s="2" t="s">
        <v>14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71.8</v>
      </c>
      <c r="K236" s="2" t="s">
        <v>15</v>
      </c>
      <c r="L236" s="2" t="s">
        <v>19</v>
      </c>
      <c r="M236" s="2" t="s">
        <v>20</v>
      </c>
      <c r="N236" s="2" t="n">
        <v>0</v>
      </c>
    </row>
    <row r="237" customFormat="false" ht="15" hidden="false" customHeight="false" outlineLevel="0" collapsed="false">
      <c r="A237" s="2" t="s">
        <v>14</v>
      </c>
      <c r="B237" s="2" t="n">
        <v>1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1</v>
      </c>
      <c r="H237" s="2" t="n">
        <v>0</v>
      </c>
      <c r="I237" s="2" t="n">
        <v>39.7</v>
      </c>
      <c r="K237" s="2" t="s">
        <v>18</v>
      </c>
      <c r="L237" s="2" t="s">
        <v>19</v>
      </c>
      <c r="M237" s="2" t="s">
        <v>20</v>
      </c>
      <c r="N237" s="2" t="n">
        <v>3</v>
      </c>
    </row>
    <row r="238" customFormat="false" ht="15" hidden="false" customHeight="false" outlineLevel="0" collapsed="false">
      <c r="A238" s="2" t="s">
        <v>14</v>
      </c>
      <c r="B238" s="2" t="n">
        <v>1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45.4</v>
      </c>
      <c r="K238" s="2" t="s">
        <v>23</v>
      </c>
      <c r="L238" s="2" t="s">
        <v>16</v>
      </c>
      <c r="M238" s="2" t="s">
        <v>22</v>
      </c>
      <c r="N238" s="2" t="n">
        <v>0</v>
      </c>
    </row>
    <row r="239" customFormat="false" ht="15" hidden="false" customHeight="false" outlineLevel="0" collapsed="false">
      <c r="A239" s="2" t="s">
        <v>14</v>
      </c>
      <c r="B239" s="2" t="n">
        <v>1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69.9</v>
      </c>
      <c r="K239" s="2" t="s">
        <v>15</v>
      </c>
      <c r="L239" s="2" t="s">
        <v>16</v>
      </c>
      <c r="M239" s="2" t="s">
        <v>22</v>
      </c>
      <c r="N239" s="2" t="n">
        <v>0</v>
      </c>
    </row>
    <row r="240" customFormat="false" ht="15" hidden="false" customHeight="false" outlineLevel="0" collapsed="false">
      <c r="A240" s="2" t="s">
        <v>14</v>
      </c>
      <c r="B240" s="2" t="n">
        <v>1</v>
      </c>
      <c r="C240" s="2" t="n">
        <v>1</v>
      </c>
      <c r="D240" s="2" t="n">
        <v>1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56.1</v>
      </c>
      <c r="K240" s="2" t="s">
        <v>15</v>
      </c>
      <c r="L240" s="2" t="s">
        <v>16</v>
      </c>
      <c r="M240" s="2" t="s">
        <v>20</v>
      </c>
      <c r="N240" s="2" t="n">
        <v>0</v>
      </c>
    </row>
    <row r="241" customFormat="false" ht="15" hidden="false" customHeight="false" outlineLevel="0" collapsed="false">
      <c r="A241" s="2" t="s">
        <v>14</v>
      </c>
      <c r="B241" s="2" t="n">
        <v>1</v>
      </c>
      <c r="C241" s="2" t="n">
        <v>1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45.9</v>
      </c>
      <c r="K241" s="2" t="s">
        <v>18</v>
      </c>
      <c r="L241" s="2" t="s">
        <v>19</v>
      </c>
      <c r="M241" s="2" t="s">
        <v>17</v>
      </c>
      <c r="N241" s="2" t="n">
        <v>0</v>
      </c>
    </row>
    <row r="242" customFormat="false" ht="15" hidden="false" customHeight="false" outlineLevel="0" collapsed="false">
      <c r="A242" s="2" t="s">
        <v>14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65.8</v>
      </c>
      <c r="K242" s="2" t="s">
        <v>18</v>
      </c>
      <c r="L242" s="2" t="s">
        <v>19</v>
      </c>
      <c r="M242" s="2" t="s">
        <v>20</v>
      </c>
      <c r="N242" s="2" t="n">
        <v>0</v>
      </c>
    </row>
    <row r="243" customFormat="false" ht="15" hidden="false" customHeight="false" outlineLevel="0" collapsed="false">
      <c r="A243" s="2" t="s">
        <v>14</v>
      </c>
      <c r="B243" s="2" t="n">
        <v>1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48.2</v>
      </c>
      <c r="K243" s="2" t="s">
        <v>15</v>
      </c>
      <c r="L243" s="2" t="s">
        <v>19</v>
      </c>
      <c r="M243" s="2" t="s">
        <v>17</v>
      </c>
      <c r="N243" s="2" t="n">
        <v>0</v>
      </c>
    </row>
    <row r="244" customFormat="false" ht="15" hidden="false" customHeight="false" outlineLevel="0" collapsed="false">
      <c r="A244" s="2" t="s">
        <v>14</v>
      </c>
      <c r="B244" s="2" t="n">
        <v>1</v>
      </c>
      <c r="C244" s="2" t="n">
        <v>1</v>
      </c>
      <c r="D244" s="2" t="n">
        <v>1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81.1</v>
      </c>
      <c r="K244" s="2" t="s">
        <v>21</v>
      </c>
      <c r="L244" s="2" t="s">
        <v>19</v>
      </c>
      <c r="M244" s="2" t="s">
        <v>17</v>
      </c>
      <c r="N244" s="2" t="n">
        <v>0</v>
      </c>
    </row>
    <row r="245" customFormat="false" ht="15" hidden="false" customHeight="false" outlineLevel="0" collapsed="false">
      <c r="A245" s="2" t="s">
        <v>14</v>
      </c>
      <c r="B245" s="2" t="n">
        <v>1</v>
      </c>
      <c r="C245" s="2" t="n">
        <v>1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53.2</v>
      </c>
      <c r="K245" s="2" t="s">
        <v>21</v>
      </c>
      <c r="L245" s="2" t="s">
        <v>24</v>
      </c>
      <c r="M245" s="2" t="s">
        <v>22</v>
      </c>
      <c r="N245" s="2" t="n">
        <v>0</v>
      </c>
    </row>
    <row r="246" customFormat="false" ht="15" hidden="false" customHeight="false" outlineLevel="0" collapsed="false">
      <c r="A246" s="2" t="s">
        <v>14</v>
      </c>
      <c r="B246" s="2" t="n">
        <v>1</v>
      </c>
      <c r="C246" s="2" t="n">
        <v>1</v>
      </c>
      <c r="D246" s="2" t="n">
        <v>1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57.7</v>
      </c>
      <c r="K246" s="2" t="s">
        <v>15</v>
      </c>
      <c r="L246" s="2" t="s">
        <v>19</v>
      </c>
      <c r="M246" s="2" t="s">
        <v>20</v>
      </c>
      <c r="N246" s="2" t="n">
        <v>0</v>
      </c>
    </row>
    <row r="247" customFormat="false" ht="15" hidden="false" customHeight="false" outlineLevel="0" collapsed="false">
      <c r="A247" s="2" t="s">
        <v>14</v>
      </c>
      <c r="B247" s="2" t="n">
        <v>1</v>
      </c>
      <c r="C247" s="2" t="n">
        <v>1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78.9</v>
      </c>
      <c r="K247" s="2" t="s">
        <v>18</v>
      </c>
      <c r="L247" s="2" t="s">
        <v>19</v>
      </c>
      <c r="M247" s="2" t="s">
        <v>22</v>
      </c>
      <c r="N247" s="2" t="n">
        <v>0</v>
      </c>
    </row>
    <row r="248" customFormat="false" ht="15" hidden="false" customHeight="false" outlineLevel="0" collapsed="false">
      <c r="A248" s="2" t="s">
        <v>14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55.7</v>
      </c>
      <c r="K248" s="2" t="s">
        <v>23</v>
      </c>
      <c r="L248" s="2" t="s">
        <v>19</v>
      </c>
      <c r="M248" s="2" t="s">
        <v>17</v>
      </c>
      <c r="N248" s="2" t="n">
        <v>0</v>
      </c>
    </row>
    <row r="249" customFormat="false" ht="15" hidden="false" customHeight="false" outlineLevel="0" collapsed="false">
      <c r="A249" s="2" t="s">
        <v>14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52.3</v>
      </c>
      <c r="K249" s="2" t="s">
        <v>18</v>
      </c>
      <c r="L249" s="2" t="s">
        <v>19</v>
      </c>
      <c r="M249" s="2" t="s">
        <v>20</v>
      </c>
      <c r="N249" s="2" t="n">
        <v>0</v>
      </c>
    </row>
    <row r="250" customFormat="false" ht="15" hidden="false" customHeight="false" outlineLevel="0" collapsed="false">
      <c r="A250" s="2" t="s">
        <v>14</v>
      </c>
      <c r="B250" s="2" t="n">
        <v>1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51.5</v>
      </c>
      <c r="K250" s="2" t="s">
        <v>15</v>
      </c>
      <c r="L250" s="2" t="s">
        <v>19</v>
      </c>
      <c r="M250" s="2" t="s">
        <v>20</v>
      </c>
      <c r="N250" s="2" t="n">
        <v>0</v>
      </c>
    </row>
    <row r="251" customFormat="false" ht="15" hidden="false" customHeight="false" outlineLevel="0" collapsed="false">
      <c r="A251" s="2" t="s">
        <v>14</v>
      </c>
      <c r="B251" s="2" t="n">
        <v>1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70.8</v>
      </c>
      <c r="K251" s="2" t="s">
        <v>15</v>
      </c>
      <c r="L251" s="2" t="s">
        <v>16</v>
      </c>
      <c r="M251" s="2" t="s">
        <v>20</v>
      </c>
      <c r="N251" s="2" t="n">
        <v>0</v>
      </c>
    </row>
    <row r="252" customFormat="false" ht="15" hidden="false" customHeight="false" outlineLevel="0" collapsed="false">
      <c r="A252" s="2" t="s">
        <v>14</v>
      </c>
      <c r="B252" s="2" t="n">
        <v>1</v>
      </c>
      <c r="C252" s="2" t="n">
        <v>1</v>
      </c>
      <c r="D252" s="2" t="n">
        <v>1</v>
      </c>
      <c r="E252" s="2" t="n">
        <v>1</v>
      </c>
      <c r="F252" s="2" t="n">
        <v>1250.78</v>
      </c>
      <c r="G252" s="2" t="n">
        <v>0</v>
      </c>
      <c r="H252" s="2" t="n">
        <v>0</v>
      </c>
      <c r="I252" s="2" t="n">
        <v>39</v>
      </c>
      <c r="J252" s="2" t="n">
        <v>10</v>
      </c>
      <c r="K252" s="2" t="s">
        <v>15</v>
      </c>
      <c r="L252" s="2" t="s">
        <v>16</v>
      </c>
      <c r="M252" s="2" t="s">
        <v>17</v>
      </c>
      <c r="N252" s="2" t="n">
        <v>0</v>
      </c>
    </row>
    <row r="253" customFormat="false" ht="15" hidden="false" customHeight="false" outlineLevel="0" collapsed="false">
      <c r="A253" s="2" t="s">
        <v>14</v>
      </c>
      <c r="B253" s="2" t="n">
        <v>1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61.6</v>
      </c>
      <c r="K253" s="2" t="s">
        <v>18</v>
      </c>
      <c r="L253" s="2" t="s">
        <v>19</v>
      </c>
      <c r="M253" s="2" t="s">
        <v>20</v>
      </c>
      <c r="N253" s="2" t="n">
        <v>0</v>
      </c>
    </row>
    <row r="254" customFormat="false" ht="15" hidden="false" customHeight="false" outlineLevel="0" collapsed="false">
      <c r="A254" s="2" t="s">
        <v>14</v>
      </c>
      <c r="B254" s="2" t="n">
        <v>1</v>
      </c>
      <c r="C254" s="2" t="n">
        <v>1</v>
      </c>
      <c r="D254" s="2" t="n">
        <v>1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46.8</v>
      </c>
      <c r="K254" s="2" t="s">
        <v>21</v>
      </c>
      <c r="L254" s="2" t="s">
        <v>16</v>
      </c>
      <c r="M254" s="2" t="s">
        <v>20</v>
      </c>
      <c r="N254" s="2" t="n">
        <v>0</v>
      </c>
    </row>
    <row r="255" customFormat="false" ht="15" hidden="false" customHeight="false" outlineLevel="0" collapsed="false">
      <c r="A255" s="2" t="s">
        <v>14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1</v>
      </c>
      <c r="H255" s="2" t="n">
        <v>0</v>
      </c>
      <c r="I255" s="2" t="n">
        <v>58.5</v>
      </c>
      <c r="K255" s="2" t="s">
        <v>15</v>
      </c>
      <c r="L255" s="2" t="s">
        <v>19</v>
      </c>
      <c r="M255" s="2" t="s">
        <v>22</v>
      </c>
      <c r="N255" s="2" t="n">
        <v>1</v>
      </c>
    </row>
    <row r="256" customFormat="false" ht="15" hidden="false" customHeight="false" outlineLevel="0" collapsed="false">
      <c r="A256" s="2" t="s">
        <v>14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70.9</v>
      </c>
      <c r="K256" s="2" t="s">
        <v>15</v>
      </c>
      <c r="L256" s="2" t="s">
        <v>19</v>
      </c>
      <c r="M256" s="2" t="s">
        <v>17</v>
      </c>
      <c r="N256" s="2" t="n">
        <v>0</v>
      </c>
    </row>
    <row r="257" customFormat="false" ht="15" hidden="false" customHeight="false" outlineLevel="0" collapsed="false">
      <c r="A257" s="2" t="s">
        <v>14</v>
      </c>
      <c r="B257" s="2" t="n">
        <v>1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48.4</v>
      </c>
      <c r="K257" s="2" t="s">
        <v>23</v>
      </c>
      <c r="L257" s="2" t="s">
        <v>19</v>
      </c>
      <c r="M257" s="2" t="s">
        <v>20</v>
      </c>
      <c r="N257" s="2" t="n">
        <v>0</v>
      </c>
    </row>
    <row r="258" customFormat="false" ht="15" hidden="false" customHeight="false" outlineLevel="0" collapsed="false">
      <c r="A258" s="2" t="s">
        <v>14</v>
      </c>
      <c r="B258" s="2" t="n">
        <v>1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58</v>
      </c>
      <c r="K258" s="2" t="s">
        <v>15</v>
      </c>
      <c r="L258" s="2" t="s">
        <v>19</v>
      </c>
      <c r="M258" s="2" t="s">
        <v>20</v>
      </c>
      <c r="N258" s="2" t="n">
        <v>0</v>
      </c>
    </row>
    <row r="259" customFormat="false" ht="15" hidden="false" customHeight="false" outlineLevel="0" collapsed="false">
      <c r="A259" s="2" t="s">
        <v>14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61.6</v>
      </c>
      <c r="K259" s="2" t="s">
        <v>15</v>
      </c>
      <c r="L259" s="2" t="s">
        <v>19</v>
      </c>
      <c r="M259" s="2" t="s">
        <v>20</v>
      </c>
      <c r="N259" s="2" t="n">
        <v>0</v>
      </c>
    </row>
    <row r="260" customFormat="false" ht="15" hidden="false" customHeight="false" outlineLevel="0" collapsed="false">
      <c r="A260" s="2" t="s">
        <v>14</v>
      </c>
      <c r="B260" s="2" t="n">
        <v>1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43.2</v>
      </c>
      <c r="K260" s="2" t="s">
        <v>21</v>
      </c>
      <c r="L260" s="2" t="s">
        <v>16</v>
      </c>
      <c r="M260" s="2" t="s">
        <v>20</v>
      </c>
      <c r="N260" s="2" t="n">
        <v>0</v>
      </c>
    </row>
    <row r="261" customFormat="false" ht="15" hidden="false" customHeight="false" outlineLevel="0" collapsed="false">
      <c r="A261" s="2" t="s">
        <v>14</v>
      </c>
      <c r="B261" s="2" t="n">
        <v>1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1</v>
      </c>
      <c r="H261" s="2" t="n">
        <v>0</v>
      </c>
      <c r="I261" s="2" t="n">
        <v>53.3</v>
      </c>
      <c r="K261" s="2" t="s">
        <v>21</v>
      </c>
      <c r="L261" s="2" t="s">
        <v>16</v>
      </c>
      <c r="M261" s="2" t="s">
        <v>17</v>
      </c>
      <c r="N261" s="2" t="n">
        <v>1</v>
      </c>
    </row>
    <row r="262" customFormat="false" ht="15" hidden="false" customHeight="false" outlineLevel="0" collapsed="false">
      <c r="A262" s="2" t="s">
        <v>14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33.9</v>
      </c>
      <c r="K262" s="2" t="s">
        <v>21</v>
      </c>
      <c r="L262" s="2" t="s">
        <v>16</v>
      </c>
      <c r="M262" s="2" t="s">
        <v>17</v>
      </c>
      <c r="N262" s="2" t="n">
        <v>0</v>
      </c>
    </row>
    <row r="263" customFormat="false" ht="15" hidden="false" customHeight="false" outlineLevel="0" collapsed="false">
      <c r="A263" s="2" t="s">
        <v>14</v>
      </c>
      <c r="B263" s="2" t="n">
        <v>1</v>
      </c>
      <c r="C263" s="2" t="n">
        <v>1</v>
      </c>
      <c r="D263" s="2" t="n">
        <v>1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35.4</v>
      </c>
      <c r="K263" s="2" t="s">
        <v>21</v>
      </c>
      <c r="L263" s="2" t="s">
        <v>16</v>
      </c>
      <c r="M263" s="2" t="s">
        <v>20</v>
      </c>
      <c r="N263" s="2" t="n">
        <v>0</v>
      </c>
    </row>
    <row r="264" customFormat="false" ht="15" hidden="false" customHeight="false" outlineLevel="0" collapsed="false">
      <c r="A264" s="2" t="s">
        <v>14</v>
      </c>
      <c r="B264" s="2" t="n">
        <v>1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45</v>
      </c>
      <c r="K264" s="2" t="s">
        <v>18</v>
      </c>
      <c r="L264" s="2" t="s">
        <v>16</v>
      </c>
      <c r="M264" s="2" t="s">
        <v>17</v>
      </c>
      <c r="N264" s="2" t="n">
        <v>0</v>
      </c>
    </row>
    <row r="265" customFormat="false" ht="15" hidden="false" customHeight="false" outlineLevel="0" collapsed="false">
      <c r="A265" s="2" t="s">
        <v>14</v>
      </c>
      <c r="B265" s="2" t="n">
        <v>1</v>
      </c>
      <c r="C265" s="2" t="n">
        <v>1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86.5</v>
      </c>
      <c r="K265" s="2" t="s">
        <v>23</v>
      </c>
      <c r="L265" s="2" t="s">
        <v>19</v>
      </c>
      <c r="M265" s="2" t="s">
        <v>20</v>
      </c>
      <c r="N265" s="2" t="n">
        <v>0</v>
      </c>
    </row>
    <row r="266" customFormat="false" ht="15" hidden="false" customHeight="false" outlineLevel="0" collapsed="false">
      <c r="A266" s="2" t="s">
        <v>14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58.1</v>
      </c>
      <c r="K266" s="2" t="s">
        <v>18</v>
      </c>
      <c r="L266" s="2" t="s">
        <v>19</v>
      </c>
      <c r="M266" s="2" t="s">
        <v>20</v>
      </c>
      <c r="N266" s="2" t="n">
        <v>0</v>
      </c>
    </row>
    <row r="267" customFormat="false" ht="15" hidden="false" customHeight="false" outlineLevel="0" collapsed="false">
      <c r="A267" s="2" t="s">
        <v>14</v>
      </c>
      <c r="B267" s="2" t="n">
        <v>1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36.1</v>
      </c>
      <c r="K267" s="2" t="s">
        <v>18</v>
      </c>
      <c r="L267" s="2" t="s">
        <v>19</v>
      </c>
      <c r="M267" s="2" t="s">
        <v>20</v>
      </c>
      <c r="N267" s="2" t="n">
        <v>0</v>
      </c>
    </row>
    <row r="268" customFormat="false" ht="15" hidden="false" customHeight="false" outlineLevel="0" collapsed="false">
      <c r="A268" s="2" t="s">
        <v>14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62.8</v>
      </c>
      <c r="K268" s="2" t="s">
        <v>21</v>
      </c>
      <c r="L268" s="2" t="s">
        <v>19</v>
      </c>
      <c r="M268" s="2" t="s">
        <v>20</v>
      </c>
      <c r="N268" s="2" t="n">
        <v>0</v>
      </c>
    </row>
    <row r="269" customFormat="false" ht="15" hidden="false" customHeight="false" outlineLevel="0" collapsed="false">
      <c r="A269" s="2" t="s">
        <v>14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54.2</v>
      </c>
      <c r="K269" s="2" t="s">
        <v>23</v>
      </c>
      <c r="L269" s="2" t="s">
        <v>19</v>
      </c>
      <c r="M269" s="2" t="s">
        <v>20</v>
      </c>
      <c r="N269" s="2" t="n">
        <v>0</v>
      </c>
    </row>
    <row r="270" customFormat="false" ht="15" hidden="false" customHeight="false" outlineLevel="0" collapsed="false">
      <c r="A270" s="2" t="s">
        <v>14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50</v>
      </c>
      <c r="K270" s="2" t="s">
        <v>21</v>
      </c>
      <c r="L270" s="2" t="s">
        <v>19</v>
      </c>
      <c r="M270" s="2" t="s">
        <v>20</v>
      </c>
      <c r="N270" s="2" t="n">
        <v>0</v>
      </c>
    </row>
    <row r="271" customFormat="false" ht="15" hidden="false" customHeight="false" outlineLevel="0" collapsed="false">
      <c r="A271" s="2" t="s">
        <v>14</v>
      </c>
      <c r="B271" s="2" t="n">
        <v>1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62</v>
      </c>
      <c r="K271" s="2" t="s">
        <v>21</v>
      </c>
      <c r="L271" s="2" t="s">
        <v>24</v>
      </c>
      <c r="M271" s="2" t="s">
        <v>17</v>
      </c>
      <c r="N271" s="2" t="n">
        <v>0</v>
      </c>
    </row>
    <row r="272" customFormat="false" ht="15" hidden="false" customHeight="false" outlineLevel="0" collapsed="false">
      <c r="A272" s="2" t="s">
        <v>14</v>
      </c>
      <c r="B272" s="2" t="n">
        <v>1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29.3</v>
      </c>
      <c r="K272" s="2" t="s">
        <v>21</v>
      </c>
      <c r="L272" s="2" t="s">
        <v>16</v>
      </c>
      <c r="M272" s="2" t="s">
        <v>20</v>
      </c>
      <c r="N272" s="2" t="n">
        <v>0</v>
      </c>
    </row>
    <row r="273" customFormat="false" ht="15" hidden="false" customHeight="false" outlineLevel="0" collapsed="false">
      <c r="A273" s="2" t="s">
        <v>14</v>
      </c>
      <c r="B273" s="2" t="n">
        <v>1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67.9</v>
      </c>
      <c r="K273" s="2" t="s">
        <v>18</v>
      </c>
      <c r="L273" s="2" t="s">
        <v>16</v>
      </c>
      <c r="M273" s="2" t="s">
        <v>20</v>
      </c>
      <c r="N273" s="2" t="n">
        <v>0</v>
      </c>
    </row>
    <row r="274" customFormat="false" ht="15" hidden="false" customHeight="false" outlineLevel="0" collapsed="false">
      <c r="A274" s="2" t="s">
        <v>14</v>
      </c>
      <c r="B274" s="2" t="n">
        <v>1</v>
      </c>
      <c r="C274" s="2" t="n">
        <v>1</v>
      </c>
      <c r="D274" s="2" t="n">
        <v>1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67.6</v>
      </c>
      <c r="K274" s="2" t="s">
        <v>15</v>
      </c>
      <c r="L274" s="2" t="s">
        <v>19</v>
      </c>
      <c r="M274" s="2" t="s">
        <v>20</v>
      </c>
      <c r="N274" s="2" t="n">
        <v>0</v>
      </c>
    </row>
    <row r="275" customFormat="false" ht="15" hidden="false" customHeight="false" outlineLevel="0" collapsed="false">
      <c r="A275" s="2" t="s">
        <v>14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67.4</v>
      </c>
      <c r="K275" s="2" t="s">
        <v>23</v>
      </c>
      <c r="L275" s="2" t="s">
        <v>19</v>
      </c>
      <c r="M275" s="2" t="s">
        <v>17</v>
      </c>
      <c r="N275" s="2" t="n">
        <v>0</v>
      </c>
    </row>
    <row r="276" customFormat="false" ht="15" hidden="false" customHeight="false" outlineLevel="0" collapsed="false">
      <c r="A276" s="2" t="s">
        <v>14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1</v>
      </c>
      <c r="H276" s="2" t="n">
        <v>0</v>
      </c>
      <c r="I276" s="2" t="n">
        <v>53</v>
      </c>
      <c r="K276" s="2" t="s">
        <v>18</v>
      </c>
      <c r="L276" s="2" t="s">
        <v>16</v>
      </c>
      <c r="M276" s="2" t="s">
        <v>22</v>
      </c>
      <c r="N276" s="2" t="n">
        <v>2</v>
      </c>
    </row>
    <row r="277" customFormat="false" ht="15" hidden="false" customHeight="false" outlineLevel="0" collapsed="false">
      <c r="A277" s="2" t="s">
        <v>14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65.5</v>
      </c>
      <c r="K277" s="2" t="s">
        <v>15</v>
      </c>
      <c r="L277" s="2" t="s">
        <v>19</v>
      </c>
      <c r="M277" s="2" t="s">
        <v>17</v>
      </c>
      <c r="N277" s="2" t="n">
        <v>0</v>
      </c>
    </row>
    <row r="278" customFormat="false" ht="15" hidden="false" customHeight="false" outlineLevel="0" collapsed="false">
      <c r="A278" s="2" t="s">
        <v>14</v>
      </c>
      <c r="B278" s="2" t="n">
        <v>1</v>
      </c>
      <c r="C278" s="2" t="n">
        <v>1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49.6</v>
      </c>
      <c r="K278" s="2" t="s">
        <v>23</v>
      </c>
      <c r="L278" s="2" t="s">
        <v>19</v>
      </c>
      <c r="M278" s="2" t="s">
        <v>17</v>
      </c>
      <c r="N278" s="2" t="n">
        <v>0</v>
      </c>
    </row>
    <row r="279" customFormat="false" ht="15" hidden="false" customHeight="false" outlineLevel="0" collapsed="false">
      <c r="A279" s="2" t="s">
        <v>14</v>
      </c>
      <c r="B279" s="2" t="n">
        <v>1</v>
      </c>
      <c r="C279" s="2" t="n">
        <v>1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74.5</v>
      </c>
      <c r="K279" s="2" t="s">
        <v>15</v>
      </c>
      <c r="L279" s="2" t="s">
        <v>19</v>
      </c>
      <c r="M279" s="2" t="s">
        <v>20</v>
      </c>
      <c r="N279" s="2" t="n">
        <v>0</v>
      </c>
    </row>
    <row r="280" customFormat="false" ht="15" hidden="false" customHeight="false" outlineLevel="0" collapsed="false">
      <c r="A280" s="2" t="s">
        <v>14</v>
      </c>
      <c r="B280" s="2" t="n">
        <v>1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1</v>
      </c>
      <c r="H280" s="2" t="n">
        <v>0</v>
      </c>
      <c r="I280" s="2" t="n">
        <v>46.9</v>
      </c>
      <c r="K280" s="2" t="s">
        <v>15</v>
      </c>
      <c r="L280" s="2" t="s">
        <v>24</v>
      </c>
      <c r="M280" s="2" t="s">
        <v>22</v>
      </c>
      <c r="N280" s="2" t="n">
        <v>1</v>
      </c>
    </row>
    <row r="281" customFormat="false" ht="15" hidden="false" customHeight="false" outlineLevel="0" collapsed="false">
      <c r="A281" s="2" t="s">
        <v>14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87.1</v>
      </c>
      <c r="K281" s="2" t="s">
        <v>15</v>
      </c>
      <c r="L281" s="2" t="s">
        <v>19</v>
      </c>
      <c r="M281" s="2" t="s">
        <v>20</v>
      </c>
      <c r="N281" s="2" t="n">
        <v>0</v>
      </c>
    </row>
    <row r="282" customFormat="false" ht="15" hidden="false" customHeight="false" outlineLevel="0" collapsed="false">
      <c r="A282" s="2" t="s">
        <v>14</v>
      </c>
      <c r="B282" s="2" t="n">
        <v>1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56</v>
      </c>
      <c r="K282" s="2" t="s">
        <v>15</v>
      </c>
      <c r="L282" s="2" t="s">
        <v>16</v>
      </c>
      <c r="M282" s="2" t="s">
        <v>20</v>
      </c>
      <c r="N282" s="2" t="n">
        <v>0</v>
      </c>
    </row>
    <row r="283" customFormat="false" ht="15" hidden="false" customHeight="false" outlineLevel="0" collapsed="false">
      <c r="A283" s="2" t="s">
        <v>14</v>
      </c>
      <c r="B283" s="2" t="n">
        <v>1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1</v>
      </c>
      <c r="H283" s="2" t="n">
        <v>0</v>
      </c>
      <c r="I283" s="2" t="n">
        <v>61.7</v>
      </c>
      <c r="K283" s="2" t="s">
        <v>21</v>
      </c>
      <c r="L283" s="2" t="s">
        <v>19</v>
      </c>
      <c r="M283" s="2" t="s">
        <v>22</v>
      </c>
      <c r="N283" s="2" t="n">
        <v>1</v>
      </c>
    </row>
    <row r="284" customFormat="false" ht="15" hidden="false" customHeight="false" outlineLevel="0" collapsed="false">
      <c r="A284" s="2" t="s">
        <v>14</v>
      </c>
      <c r="B284" s="2" t="n">
        <v>1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1</v>
      </c>
      <c r="H284" s="2" t="n">
        <v>0</v>
      </c>
      <c r="I284" s="2" t="n">
        <v>70.5</v>
      </c>
      <c r="K284" s="2" t="s">
        <v>23</v>
      </c>
      <c r="L284" s="2" t="s">
        <v>19</v>
      </c>
      <c r="M284" s="2" t="s">
        <v>20</v>
      </c>
      <c r="N284" s="2" t="n">
        <v>1</v>
      </c>
    </row>
    <row r="285" customFormat="false" ht="15" hidden="false" customHeight="false" outlineLevel="0" collapsed="false">
      <c r="A285" s="2" t="s">
        <v>14</v>
      </c>
      <c r="B285" s="2" t="n">
        <v>1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33.4</v>
      </c>
      <c r="K285" s="2" t="s">
        <v>15</v>
      </c>
      <c r="L285" s="2" t="s">
        <v>16</v>
      </c>
      <c r="M285" s="2" t="s">
        <v>17</v>
      </c>
      <c r="N285" s="2" t="n">
        <v>0</v>
      </c>
    </row>
    <row r="286" customFormat="false" ht="15" hidden="false" customHeight="false" outlineLevel="0" collapsed="false">
      <c r="A286" s="2" t="s">
        <v>14</v>
      </c>
      <c r="B286" s="2" t="n">
        <v>1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57.5</v>
      </c>
      <c r="K286" s="2" t="s">
        <v>23</v>
      </c>
      <c r="L286" s="2" t="s">
        <v>16</v>
      </c>
      <c r="M286" s="2" t="s">
        <v>20</v>
      </c>
      <c r="N286" s="2" t="n">
        <v>0</v>
      </c>
    </row>
    <row r="287" customFormat="false" ht="15" hidden="false" customHeight="false" outlineLevel="0" collapsed="false">
      <c r="A287" s="2" t="s">
        <v>14</v>
      </c>
      <c r="B287" s="2" t="n">
        <v>1</v>
      </c>
      <c r="C287" s="2" t="n">
        <v>1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85.7</v>
      </c>
      <c r="K287" s="2" t="s">
        <v>15</v>
      </c>
      <c r="L287" s="2" t="s">
        <v>16</v>
      </c>
      <c r="M287" s="2" t="s">
        <v>17</v>
      </c>
      <c r="N287" s="2" t="n">
        <v>0</v>
      </c>
    </row>
    <row r="288" customFormat="false" ht="15" hidden="false" customHeight="false" outlineLevel="0" collapsed="false">
      <c r="A288" s="2" t="s">
        <v>14</v>
      </c>
      <c r="B288" s="2" t="n">
        <v>1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41.9</v>
      </c>
      <c r="K288" s="2" t="s">
        <v>21</v>
      </c>
      <c r="L288" s="2" t="s">
        <v>19</v>
      </c>
      <c r="M288" s="2" t="s">
        <v>20</v>
      </c>
      <c r="N288" s="2" t="n">
        <v>0</v>
      </c>
    </row>
    <row r="289" customFormat="false" ht="15" hidden="false" customHeight="false" outlineLevel="0" collapsed="false">
      <c r="A289" s="2" t="s">
        <v>14</v>
      </c>
      <c r="B289" s="2" t="n">
        <v>1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70.2</v>
      </c>
      <c r="K289" s="2" t="s">
        <v>18</v>
      </c>
      <c r="L289" s="2" t="s">
        <v>19</v>
      </c>
      <c r="M289" s="2" t="s">
        <v>17</v>
      </c>
      <c r="N289" s="2" t="n">
        <v>0</v>
      </c>
    </row>
    <row r="290" customFormat="false" ht="15" hidden="false" customHeight="false" outlineLevel="0" collapsed="false">
      <c r="A290" s="2" t="s">
        <v>14</v>
      </c>
      <c r="B290" s="2" t="n">
        <v>1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42.6</v>
      </c>
      <c r="K290" s="2" t="s">
        <v>15</v>
      </c>
      <c r="L290" s="2" t="s">
        <v>19</v>
      </c>
      <c r="M290" s="2" t="s">
        <v>20</v>
      </c>
      <c r="N290" s="2" t="n">
        <v>0</v>
      </c>
    </row>
    <row r="291" customFormat="false" ht="15" hidden="false" customHeight="false" outlineLevel="0" collapsed="false">
      <c r="A291" s="2" t="s">
        <v>14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1</v>
      </c>
      <c r="H291" s="2" t="n">
        <v>0</v>
      </c>
      <c r="I291" s="2" t="n">
        <v>30.4</v>
      </c>
      <c r="K291" s="2" t="s">
        <v>18</v>
      </c>
      <c r="L291" s="2" t="s">
        <v>19</v>
      </c>
      <c r="M291" s="2" t="s">
        <v>17</v>
      </c>
      <c r="N291" s="2" t="n">
        <v>2</v>
      </c>
    </row>
    <row r="292" customFormat="false" ht="15" hidden="false" customHeight="false" outlineLevel="0" collapsed="false">
      <c r="A292" s="2" t="s">
        <v>14</v>
      </c>
      <c r="B292" s="2" t="n">
        <v>1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63.7</v>
      </c>
      <c r="K292" s="2" t="s">
        <v>21</v>
      </c>
      <c r="L292" s="2" t="s">
        <v>19</v>
      </c>
      <c r="M292" s="2" t="s">
        <v>17</v>
      </c>
      <c r="N292" s="2" t="n">
        <v>0</v>
      </c>
    </row>
    <row r="293" customFormat="false" ht="15" hidden="false" customHeight="false" outlineLevel="0" collapsed="false">
      <c r="A293" s="2" t="s">
        <v>14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42.7</v>
      </c>
      <c r="K293" s="2" t="s">
        <v>23</v>
      </c>
      <c r="L293" s="2" t="s">
        <v>19</v>
      </c>
      <c r="M293" s="2" t="s">
        <v>17</v>
      </c>
      <c r="N293" s="2" t="n">
        <v>0</v>
      </c>
    </row>
    <row r="294" customFormat="false" ht="15" hidden="false" customHeight="false" outlineLevel="0" collapsed="false">
      <c r="A294" s="2" t="s">
        <v>14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74.3</v>
      </c>
      <c r="K294" s="2" t="s">
        <v>15</v>
      </c>
      <c r="L294" s="2" t="s">
        <v>19</v>
      </c>
      <c r="M294" s="2" t="s">
        <v>20</v>
      </c>
      <c r="N294" s="2" t="n">
        <v>0</v>
      </c>
    </row>
    <row r="295" customFormat="false" ht="15" hidden="false" customHeight="false" outlineLevel="0" collapsed="false">
      <c r="A295" s="2" t="s">
        <v>14</v>
      </c>
      <c r="B295" s="2" t="n">
        <v>1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40.6</v>
      </c>
      <c r="K295" s="2" t="s">
        <v>18</v>
      </c>
      <c r="L295" s="2" t="s">
        <v>16</v>
      </c>
      <c r="M295" s="2" t="s">
        <v>20</v>
      </c>
      <c r="N295" s="2" t="n">
        <v>0</v>
      </c>
    </row>
    <row r="296" customFormat="false" ht="15" hidden="false" customHeight="false" outlineLevel="0" collapsed="false">
      <c r="A296" s="2" t="s">
        <v>14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67</v>
      </c>
      <c r="K296" s="2" t="s">
        <v>21</v>
      </c>
      <c r="L296" s="2" t="s">
        <v>19</v>
      </c>
      <c r="M296" s="2" t="s">
        <v>22</v>
      </c>
      <c r="N296" s="2" t="n">
        <v>0</v>
      </c>
    </row>
    <row r="297" customFormat="false" ht="15" hidden="false" customHeight="false" outlineLevel="0" collapsed="false">
      <c r="A297" s="2" t="s">
        <v>14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51</v>
      </c>
      <c r="K297" s="2" t="s">
        <v>21</v>
      </c>
      <c r="L297" s="2" t="s">
        <v>19</v>
      </c>
      <c r="M297" s="2" t="s">
        <v>22</v>
      </c>
      <c r="N297" s="2" t="n">
        <v>0</v>
      </c>
    </row>
    <row r="298" customFormat="false" ht="15" hidden="false" customHeight="false" outlineLevel="0" collapsed="false">
      <c r="A298" s="2" t="s">
        <v>14</v>
      </c>
      <c r="B298" s="2" t="n">
        <v>1</v>
      </c>
      <c r="C298" s="2" t="n">
        <v>1</v>
      </c>
      <c r="D298" s="2" t="n">
        <v>0</v>
      </c>
      <c r="E298" s="2" t="n">
        <v>0</v>
      </c>
      <c r="F298" s="2" t="n">
        <v>0</v>
      </c>
      <c r="G298" s="2" t="n">
        <v>1</v>
      </c>
      <c r="H298" s="2" t="n">
        <v>0</v>
      </c>
      <c r="I298" s="2" t="n">
        <v>54.8</v>
      </c>
      <c r="K298" s="2" t="s">
        <v>18</v>
      </c>
      <c r="L298" s="2" t="s">
        <v>19</v>
      </c>
      <c r="M298" s="2" t="s">
        <v>17</v>
      </c>
      <c r="N298" s="2" t="n">
        <v>1</v>
      </c>
    </row>
    <row r="299" customFormat="false" ht="15" hidden="false" customHeight="false" outlineLevel="0" collapsed="false">
      <c r="A299" s="2" t="s">
        <v>14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40.8</v>
      </c>
      <c r="K299" s="2" t="s">
        <v>15</v>
      </c>
      <c r="L299" s="2" t="s">
        <v>24</v>
      </c>
      <c r="M299" s="2" t="s">
        <v>17</v>
      </c>
      <c r="N299" s="2" t="n">
        <v>0</v>
      </c>
    </row>
    <row r="300" customFormat="false" ht="15" hidden="false" customHeight="false" outlineLevel="0" collapsed="false">
      <c r="A300" s="2" t="s">
        <v>14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48.8</v>
      </c>
      <c r="K300" s="2" t="s">
        <v>21</v>
      </c>
      <c r="L300" s="2" t="s">
        <v>19</v>
      </c>
      <c r="M300" s="2" t="s">
        <v>20</v>
      </c>
      <c r="N300" s="2" t="n">
        <v>0</v>
      </c>
    </row>
    <row r="301" customFormat="false" ht="15" hidden="false" customHeight="false" outlineLevel="0" collapsed="false">
      <c r="A301" s="2" t="s">
        <v>14</v>
      </c>
      <c r="B301" s="2" t="n">
        <v>1</v>
      </c>
      <c r="C301" s="2" t="n">
        <v>1</v>
      </c>
      <c r="D301" s="2" t="n">
        <v>1</v>
      </c>
      <c r="E301" s="2" t="n">
        <v>1</v>
      </c>
      <c r="F301" s="2" t="n">
        <v>1198.69</v>
      </c>
      <c r="G301" s="2" t="n">
        <v>1</v>
      </c>
      <c r="H301" s="2" t="n">
        <v>0</v>
      </c>
      <c r="I301" s="2" t="n">
        <v>88.9</v>
      </c>
      <c r="J301" s="2" t="n">
        <v>6</v>
      </c>
      <c r="K301" s="2" t="s">
        <v>23</v>
      </c>
      <c r="L301" s="2" t="s">
        <v>19</v>
      </c>
      <c r="M301" s="2" t="s">
        <v>17</v>
      </c>
      <c r="N301" s="2" t="n">
        <v>1</v>
      </c>
    </row>
    <row r="302" customFormat="false" ht="15" hidden="false" customHeight="false" outlineLevel="0" collapsed="false">
      <c r="A302" s="2" t="s">
        <v>14</v>
      </c>
      <c r="B302" s="2" t="n">
        <v>1</v>
      </c>
      <c r="C302" s="2" t="n">
        <v>1</v>
      </c>
      <c r="D302" s="2" t="n">
        <v>1</v>
      </c>
      <c r="E302" s="2" t="n">
        <v>0</v>
      </c>
      <c r="F302" s="2" t="n">
        <v>0</v>
      </c>
      <c r="G302" s="2" t="n">
        <v>1</v>
      </c>
      <c r="H302" s="2" t="n">
        <v>0</v>
      </c>
      <c r="I302" s="2" t="n">
        <v>60.5</v>
      </c>
      <c r="K302" s="2" t="s">
        <v>15</v>
      </c>
      <c r="L302" s="2" t="s">
        <v>19</v>
      </c>
      <c r="M302" s="2" t="s">
        <v>17</v>
      </c>
      <c r="N302" s="2" t="n">
        <v>1</v>
      </c>
    </row>
    <row r="303" customFormat="false" ht="15" hidden="false" customHeight="false" outlineLevel="0" collapsed="false">
      <c r="A303" s="2" t="s">
        <v>14</v>
      </c>
      <c r="B303" s="2" t="n">
        <v>1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63.6</v>
      </c>
      <c r="K303" s="2" t="s">
        <v>15</v>
      </c>
      <c r="L303" s="2" t="s">
        <v>19</v>
      </c>
      <c r="M303" s="2" t="s">
        <v>17</v>
      </c>
      <c r="N303" s="2" t="n">
        <v>0</v>
      </c>
    </row>
    <row r="304" customFormat="false" ht="15" hidden="false" customHeight="false" outlineLevel="0" collapsed="false">
      <c r="A304" s="2" t="s">
        <v>14</v>
      </c>
      <c r="B304" s="2" t="n">
        <v>1</v>
      </c>
      <c r="C304" s="2" t="n">
        <v>1</v>
      </c>
      <c r="D304" s="2" t="n">
        <v>1</v>
      </c>
      <c r="E304" s="2" t="n">
        <v>1</v>
      </c>
      <c r="F304" s="2" t="n">
        <v>6788.95</v>
      </c>
      <c r="G304" s="2" t="n">
        <v>0</v>
      </c>
      <c r="H304" s="2" t="n">
        <v>0</v>
      </c>
      <c r="I304" s="2" t="n">
        <v>58.4</v>
      </c>
      <c r="J304" s="2" t="n">
        <v>17</v>
      </c>
      <c r="K304" s="2" t="s">
        <v>15</v>
      </c>
      <c r="L304" s="2" t="s">
        <v>16</v>
      </c>
      <c r="M304" s="2" t="s">
        <v>17</v>
      </c>
      <c r="N304" s="2" t="n">
        <v>0</v>
      </c>
    </row>
    <row r="305" customFormat="false" ht="15" hidden="false" customHeight="false" outlineLevel="0" collapsed="false">
      <c r="A305" s="2" t="s">
        <v>14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52.7</v>
      </c>
      <c r="K305" s="2" t="s">
        <v>23</v>
      </c>
      <c r="L305" s="2" t="s">
        <v>19</v>
      </c>
      <c r="M305" s="2" t="s">
        <v>22</v>
      </c>
      <c r="N305" s="2" t="n">
        <v>0</v>
      </c>
    </row>
    <row r="306" customFormat="false" ht="15" hidden="false" customHeight="false" outlineLevel="0" collapsed="false">
      <c r="A306" s="2" t="s">
        <v>14</v>
      </c>
      <c r="B306" s="2" t="n">
        <v>1</v>
      </c>
      <c r="C306" s="2" t="n">
        <v>1</v>
      </c>
      <c r="D306" s="2" t="n">
        <v>1</v>
      </c>
      <c r="E306" s="2" t="n">
        <v>0</v>
      </c>
      <c r="F306" s="2" t="n">
        <v>0</v>
      </c>
      <c r="G306" s="2" t="n">
        <v>1</v>
      </c>
      <c r="H306" s="2" t="n">
        <v>0</v>
      </c>
      <c r="I306" s="2" t="n">
        <v>48.9</v>
      </c>
      <c r="K306" s="2" t="s">
        <v>23</v>
      </c>
      <c r="L306" s="2" t="s">
        <v>24</v>
      </c>
      <c r="M306" s="2" t="s">
        <v>22</v>
      </c>
      <c r="N306" s="2" t="n">
        <v>2</v>
      </c>
    </row>
    <row r="307" customFormat="false" ht="15" hidden="false" customHeight="false" outlineLevel="0" collapsed="false">
      <c r="A307" s="2" t="s">
        <v>14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79.7</v>
      </c>
      <c r="K307" s="2" t="s">
        <v>18</v>
      </c>
      <c r="L307" s="2" t="s">
        <v>19</v>
      </c>
      <c r="M307" s="2" t="s">
        <v>22</v>
      </c>
      <c r="N307" s="2" t="n">
        <v>0</v>
      </c>
    </row>
    <row r="308" customFormat="false" ht="15" hidden="false" customHeight="false" outlineLevel="0" collapsed="false">
      <c r="A308" s="2" t="s">
        <v>14</v>
      </c>
      <c r="B308" s="2" t="n">
        <v>1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44.9</v>
      </c>
      <c r="K308" s="2" t="s">
        <v>15</v>
      </c>
      <c r="L308" s="2" t="s">
        <v>19</v>
      </c>
      <c r="M308" s="2" t="s">
        <v>20</v>
      </c>
      <c r="N308" s="2" t="n">
        <v>0</v>
      </c>
    </row>
    <row r="309" customFormat="false" ht="15" hidden="false" customHeight="false" outlineLevel="0" collapsed="false">
      <c r="A309" s="2" t="s">
        <v>14</v>
      </c>
      <c r="B309" s="2" t="n">
        <v>1</v>
      </c>
      <c r="C309" s="2" t="n">
        <v>1</v>
      </c>
      <c r="D309" s="2" t="n">
        <v>1</v>
      </c>
      <c r="E309" s="2" t="n">
        <v>1</v>
      </c>
      <c r="F309" s="2" t="n">
        <v>409.39</v>
      </c>
      <c r="G309" s="2" t="n">
        <v>0</v>
      </c>
      <c r="H309" s="2" t="n">
        <v>0</v>
      </c>
      <c r="I309" s="2" t="n">
        <v>38.8</v>
      </c>
      <c r="J309" s="2" t="n">
        <v>10</v>
      </c>
      <c r="K309" s="2" t="s">
        <v>18</v>
      </c>
      <c r="L309" s="2" t="s">
        <v>24</v>
      </c>
      <c r="M309" s="2" t="s">
        <v>20</v>
      </c>
      <c r="N309" s="2" t="n">
        <v>0</v>
      </c>
    </row>
    <row r="310" customFormat="false" ht="15" hidden="false" customHeight="false" outlineLevel="0" collapsed="false">
      <c r="A310" s="2" t="s">
        <v>14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70</v>
      </c>
      <c r="K310" s="2" t="s">
        <v>23</v>
      </c>
      <c r="L310" s="2" t="s">
        <v>16</v>
      </c>
      <c r="M310" s="2" t="s">
        <v>20</v>
      </c>
      <c r="N310" s="2" t="n">
        <v>0</v>
      </c>
    </row>
    <row r="311" customFormat="false" ht="15" hidden="false" customHeight="false" outlineLevel="0" collapsed="false">
      <c r="A311" s="2" t="s">
        <v>14</v>
      </c>
      <c r="B311" s="2" t="n">
        <v>1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77.7</v>
      </c>
      <c r="K311" s="2" t="s">
        <v>23</v>
      </c>
      <c r="L311" s="2" t="s">
        <v>16</v>
      </c>
      <c r="M311" s="2" t="s">
        <v>17</v>
      </c>
      <c r="N311" s="2" t="n">
        <v>0</v>
      </c>
    </row>
    <row r="312" customFormat="false" ht="15" hidden="false" customHeight="false" outlineLevel="0" collapsed="false">
      <c r="A312" s="2" t="s">
        <v>14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71.2</v>
      </c>
      <c r="K312" s="2" t="s">
        <v>18</v>
      </c>
      <c r="L312" s="2" t="s">
        <v>19</v>
      </c>
      <c r="M312" s="2" t="s">
        <v>20</v>
      </c>
      <c r="N312" s="2" t="n">
        <v>0</v>
      </c>
    </row>
    <row r="313" customFormat="false" ht="15" hidden="false" customHeight="false" outlineLevel="0" collapsed="false">
      <c r="A313" s="2" t="s">
        <v>14</v>
      </c>
      <c r="B313" s="2" t="n">
        <v>1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43.8</v>
      </c>
      <c r="K313" s="2" t="s">
        <v>15</v>
      </c>
      <c r="L313" s="2" t="s">
        <v>19</v>
      </c>
      <c r="M313" s="2" t="s">
        <v>17</v>
      </c>
      <c r="N313" s="2" t="n">
        <v>0</v>
      </c>
    </row>
    <row r="314" customFormat="false" ht="15" hidden="false" customHeight="false" outlineLevel="0" collapsed="false">
      <c r="A314" s="2" t="s">
        <v>14</v>
      </c>
      <c r="B314" s="2" t="n">
        <v>1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50.9</v>
      </c>
      <c r="K314" s="2" t="s">
        <v>23</v>
      </c>
      <c r="L314" s="2" t="s">
        <v>24</v>
      </c>
      <c r="M314" s="2" t="s">
        <v>20</v>
      </c>
      <c r="N314" s="2" t="n">
        <v>0</v>
      </c>
    </row>
    <row r="315" customFormat="false" ht="15" hidden="false" customHeight="false" outlineLevel="0" collapsed="false">
      <c r="A315" s="2" t="s">
        <v>14</v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58.5</v>
      </c>
      <c r="K315" s="2" t="s">
        <v>18</v>
      </c>
      <c r="L315" s="2" t="s">
        <v>19</v>
      </c>
      <c r="M315" s="2" t="s">
        <v>22</v>
      </c>
      <c r="N315" s="2" t="n">
        <v>0</v>
      </c>
    </row>
    <row r="316" customFormat="false" ht="15" hidden="false" customHeight="false" outlineLevel="0" collapsed="false">
      <c r="A316" s="2" t="s">
        <v>14</v>
      </c>
      <c r="B316" s="2" t="n">
        <v>1</v>
      </c>
      <c r="C316" s="2" t="n">
        <v>1</v>
      </c>
      <c r="D316" s="2" t="n">
        <v>1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53.6</v>
      </c>
      <c r="K316" s="2" t="s">
        <v>21</v>
      </c>
      <c r="L316" s="2" t="s">
        <v>19</v>
      </c>
      <c r="M316" s="2" t="s">
        <v>20</v>
      </c>
      <c r="N316" s="2" t="n">
        <v>0</v>
      </c>
    </row>
    <row r="317" customFormat="false" ht="15" hidden="false" customHeight="false" outlineLevel="0" collapsed="false">
      <c r="A317" s="2" t="s">
        <v>14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54.9</v>
      </c>
      <c r="K317" s="2" t="s">
        <v>21</v>
      </c>
      <c r="L317" s="2" t="s">
        <v>19</v>
      </c>
      <c r="M317" s="2" t="s">
        <v>20</v>
      </c>
      <c r="N317" s="2" t="n">
        <v>0</v>
      </c>
    </row>
    <row r="318" customFormat="false" ht="15" hidden="false" customHeight="false" outlineLevel="0" collapsed="false">
      <c r="A318" s="2" t="s">
        <v>14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57.3</v>
      </c>
      <c r="K318" s="2" t="s">
        <v>15</v>
      </c>
      <c r="L318" s="2" t="s">
        <v>16</v>
      </c>
      <c r="M318" s="2" t="s">
        <v>22</v>
      </c>
      <c r="N318" s="2" t="n">
        <v>0</v>
      </c>
    </row>
    <row r="319" customFormat="false" ht="15" hidden="false" customHeight="false" outlineLevel="0" collapsed="false">
      <c r="A319" s="2" t="s">
        <v>14</v>
      </c>
      <c r="B319" s="2" t="n">
        <v>1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52.1</v>
      </c>
      <c r="K319" s="2" t="s">
        <v>21</v>
      </c>
      <c r="L319" s="2" t="s">
        <v>16</v>
      </c>
      <c r="M319" s="2" t="s">
        <v>20</v>
      </c>
      <c r="N319" s="2" t="n">
        <v>0</v>
      </c>
    </row>
    <row r="320" customFormat="false" ht="15" hidden="false" customHeight="false" outlineLevel="0" collapsed="false">
      <c r="A320" s="2" t="s">
        <v>14</v>
      </c>
      <c r="B320" s="2" t="n">
        <v>1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80</v>
      </c>
      <c r="K320" s="2" t="s">
        <v>15</v>
      </c>
      <c r="L320" s="2" t="s">
        <v>19</v>
      </c>
      <c r="M320" s="2" t="s">
        <v>20</v>
      </c>
      <c r="N320" s="2" t="n">
        <v>0</v>
      </c>
    </row>
    <row r="321" customFormat="false" ht="15" hidden="false" customHeight="false" outlineLevel="0" collapsed="false">
      <c r="A321" s="2" t="s">
        <v>14</v>
      </c>
      <c r="B321" s="2" t="n">
        <v>1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39.3</v>
      </c>
      <c r="K321" s="2" t="s">
        <v>23</v>
      </c>
      <c r="L321" s="2" t="s">
        <v>16</v>
      </c>
      <c r="M321" s="2" t="s">
        <v>22</v>
      </c>
      <c r="N321" s="2" t="n">
        <v>0</v>
      </c>
    </row>
    <row r="322" customFormat="false" ht="15" hidden="false" customHeight="false" outlineLevel="0" collapsed="false">
      <c r="A322" s="2" t="s">
        <v>14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45.7</v>
      </c>
      <c r="K322" s="2" t="s">
        <v>15</v>
      </c>
      <c r="L322" s="2" t="s">
        <v>16</v>
      </c>
      <c r="M322" s="2" t="s">
        <v>22</v>
      </c>
      <c r="N322" s="2" t="n">
        <v>0</v>
      </c>
    </row>
    <row r="323" customFormat="false" ht="15" hidden="false" customHeight="false" outlineLevel="0" collapsed="false">
      <c r="A323" s="2" t="s">
        <v>14</v>
      </c>
      <c r="B323" s="2" t="n">
        <v>1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1</v>
      </c>
      <c r="H323" s="2" t="n">
        <v>0</v>
      </c>
      <c r="I323" s="2" t="n">
        <v>61.2</v>
      </c>
      <c r="K323" s="2" t="s">
        <v>15</v>
      </c>
      <c r="L323" s="2" t="s">
        <v>16</v>
      </c>
      <c r="M323" s="2" t="s">
        <v>17</v>
      </c>
      <c r="N323" s="2" t="n">
        <v>2</v>
      </c>
    </row>
    <row r="324" customFormat="false" ht="15" hidden="false" customHeight="false" outlineLevel="0" collapsed="false">
      <c r="A324" s="2" t="s">
        <v>14</v>
      </c>
      <c r="B324" s="2" t="n">
        <v>1</v>
      </c>
      <c r="C324" s="2" t="n">
        <v>1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66.2</v>
      </c>
      <c r="K324" s="2" t="s">
        <v>18</v>
      </c>
      <c r="L324" s="2" t="s">
        <v>19</v>
      </c>
      <c r="M324" s="2" t="s">
        <v>17</v>
      </c>
      <c r="N324" s="2" t="n">
        <v>0</v>
      </c>
    </row>
    <row r="325" customFormat="false" ht="15" hidden="false" customHeight="false" outlineLevel="0" collapsed="false">
      <c r="A325" s="2" t="s">
        <v>14</v>
      </c>
      <c r="B325" s="2" t="n">
        <v>1</v>
      </c>
      <c r="C325" s="2" t="n">
        <v>1</v>
      </c>
      <c r="D325" s="2" t="n">
        <v>1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61.3</v>
      </c>
      <c r="K325" s="2" t="s">
        <v>21</v>
      </c>
      <c r="L325" s="2" t="s">
        <v>19</v>
      </c>
      <c r="M325" s="2" t="s">
        <v>20</v>
      </c>
      <c r="N325" s="2" t="n">
        <v>0</v>
      </c>
    </row>
    <row r="326" customFormat="false" ht="15" hidden="false" customHeight="false" outlineLevel="0" collapsed="false">
      <c r="A326" s="2" t="s">
        <v>14</v>
      </c>
      <c r="B326" s="2" t="n">
        <v>1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72.2</v>
      </c>
      <c r="K326" s="2" t="s">
        <v>21</v>
      </c>
      <c r="L326" s="2" t="s">
        <v>19</v>
      </c>
      <c r="M326" s="2" t="s">
        <v>20</v>
      </c>
      <c r="N326" s="2" t="n">
        <v>0</v>
      </c>
    </row>
    <row r="327" customFormat="false" ht="15" hidden="false" customHeight="false" outlineLevel="0" collapsed="false">
      <c r="A327" s="2" t="s">
        <v>14</v>
      </c>
      <c r="B327" s="2" t="n">
        <v>1</v>
      </c>
      <c r="C327" s="2" t="n">
        <v>1</v>
      </c>
      <c r="D327" s="2" t="n">
        <v>1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84</v>
      </c>
      <c r="K327" s="2" t="s">
        <v>18</v>
      </c>
      <c r="L327" s="2" t="s">
        <v>19</v>
      </c>
      <c r="M327" s="2" t="s">
        <v>22</v>
      </c>
      <c r="N327" s="2" t="n">
        <v>0</v>
      </c>
    </row>
    <row r="328" customFormat="false" ht="15" hidden="false" customHeight="false" outlineLevel="0" collapsed="false">
      <c r="A328" s="2" t="s">
        <v>14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59.8</v>
      </c>
      <c r="K328" s="2" t="s">
        <v>18</v>
      </c>
      <c r="L328" s="2" t="s">
        <v>16</v>
      </c>
      <c r="M328" s="2" t="s">
        <v>17</v>
      </c>
      <c r="N328" s="2" t="n">
        <v>0</v>
      </c>
    </row>
    <row r="329" customFormat="false" ht="15" hidden="false" customHeight="false" outlineLevel="0" collapsed="false">
      <c r="A329" s="2" t="s">
        <v>14</v>
      </c>
      <c r="B329" s="2" t="n">
        <v>1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64.9</v>
      </c>
      <c r="K329" s="2" t="s">
        <v>18</v>
      </c>
      <c r="L329" s="2" t="s">
        <v>16</v>
      </c>
      <c r="M329" s="2" t="s">
        <v>20</v>
      </c>
      <c r="N329" s="2" t="n">
        <v>0</v>
      </c>
    </row>
    <row r="330" customFormat="false" ht="15" hidden="false" customHeight="false" outlineLevel="0" collapsed="false">
      <c r="A330" s="2" t="s">
        <v>14</v>
      </c>
      <c r="B330" s="2" t="n">
        <v>1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66.8</v>
      </c>
      <c r="K330" s="2" t="s">
        <v>23</v>
      </c>
      <c r="L330" s="2" t="s">
        <v>19</v>
      </c>
      <c r="M330" s="2" t="s">
        <v>20</v>
      </c>
      <c r="N330" s="2" t="n">
        <v>0</v>
      </c>
    </row>
    <row r="331" customFormat="false" ht="15" hidden="false" customHeight="false" outlineLevel="0" collapsed="false">
      <c r="A331" s="2" t="s">
        <v>14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70.9</v>
      </c>
      <c r="K331" s="2" t="s">
        <v>15</v>
      </c>
      <c r="L331" s="2" t="s">
        <v>16</v>
      </c>
      <c r="M331" s="2" t="s">
        <v>22</v>
      </c>
      <c r="N331" s="2" t="n">
        <v>0</v>
      </c>
    </row>
    <row r="332" customFormat="false" ht="15" hidden="false" customHeight="false" outlineLevel="0" collapsed="false">
      <c r="A332" s="2" t="s">
        <v>14</v>
      </c>
      <c r="B332" s="2" t="n">
        <v>1</v>
      </c>
      <c r="C332" s="2" t="n">
        <v>1</v>
      </c>
      <c r="D332" s="2" t="n">
        <v>1</v>
      </c>
      <c r="E332" s="2" t="n">
        <v>1</v>
      </c>
      <c r="F332" s="2" t="n">
        <v>426.82</v>
      </c>
      <c r="G332" s="2" t="n">
        <v>1</v>
      </c>
      <c r="H332" s="2" t="n">
        <v>0</v>
      </c>
      <c r="I332" s="2" t="n">
        <v>68.8</v>
      </c>
      <c r="J332" s="2" t="n">
        <v>14</v>
      </c>
      <c r="K332" s="2" t="s">
        <v>21</v>
      </c>
      <c r="L332" s="2" t="s">
        <v>19</v>
      </c>
      <c r="M332" s="2" t="s">
        <v>20</v>
      </c>
      <c r="N332" s="2" t="n">
        <v>1</v>
      </c>
    </row>
    <row r="333" customFormat="false" ht="15" hidden="false" customHeight="false" outlineLevel="0" collapsed="false">
      <c r="A333" s="2" t="s">
        <v>14</v>
      </c>
      <c r="B333" s="2" t="n">
        <v>1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72.4</v>
      </c>
      <c r="K333" s="2" t="s">
        <v>15</v>
      </c>
      <c r="L333" s="2" t="s">
        <v>19</v>
      </c>
      <c r="M333" s="2" t="s">
        <v>17</v>
      </c>
      <c r="N333" s="2" t="n">
        <v>0</v>
      </c>
    </row>
    <row r="334" customFormat="false" ht="15" hidden="false" customHeight="false" outlineLevel="0" collapsed="false">
      <c r="A334" s="2" t="s">
        <v>14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63.3</v>
      </c>
      <c r="K334" s="2" t="s">
        <v>21</v>
      </c>
      <c r="L334" s="2" t="s">
        <v>19</v>
      </c>
      <c r="M334" s="2" t="s">
        <v>17</v>
      </c>
      <c r="N334" s="2" t="n">
        <v>0</v>
      </c>
    </row>
    <row r="335" customFormat="false" ht="15" hidden="false" customHeight="false" outlineLevel="0" collapsed="false">
      <c r="A335" s="2" t="s">
        <v>14</v>
      </c>
      <c r="B335" s="2" t="n">
        <v>1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30.8</v>
      </c>
      <c r="K335" s="2" t="s">
        <v>18</v>
      </c>
      <c r="L335" s="2" t="s">
        <v>24</v>
      </c>
      <c r="M335" s="2" t="s">
        <v>20</v>
      </c>
      <c r="N335" s="2" t="n">
        <v>0</v>
      </c>
    </row>
    <row r="336" customFormat="false" ht="15" hidden="false" customHeight="false" outlineLevel="0" collapsed="false">
      <c r="A336" s="2" t="s">
        <v>14</v>
      </c>
      <c r="B336" s="2" t="n">
        <v>1</v>
      </c>
      <c r="C336" s="2" t="n">
        <v>1</v>
      </c>
      <c r="D336" s="2" t="n">
        <v>1</v>
      </c>
      <c r="E336" s="2" t="n">
        <v>1</v>
      </c>
      <c r="F336" s="2" t="n">
        <v>874.55</v>
      </c>
      <c r="G336" s="2" t="n">
        <v>0</v>
      </c>
      <c r="H336" s="2" t="n">
        <v>0</v>
      </c>
      <c r="I336" s="2" t="n">
        <v>44.2</v>
      </c>
      <c r="J336" s="2" t="n">
        <v>9</v>
      </c>
      <c r="K336" s="2" t="s">
        <v>23</v>
      </c>
      <c r="L336" s="2" t="s">
        <v>19</v>
      </c>
      <c r="M336" s="2" t="s">
        <v>17</v>
      </c>
      <c r="N336" s="2" t="n">
        <v>0</v>
      </c>
    </row>
    <row r="337" customFormat="false" ht="15" hidden="false" customHeight="false" outlineLevel="0" collapsed="false">
      <c r="A337" s="2" t="s">
        <v>14</v>
      </c>
      <c r="B337" s="2" t="n">
        <v>1</v>
      </c>
      <c r="C337" s="2" t="n">
        <v>1</v>
      </c>
      <c r="D337" s="2" t="n">
        <v>1</v>
      </c>
      <c r="E337" s="2" t="n">
        <v>1</v>
      </c>
      <c r="F337" s="2" t="n">
        <v>2206.88</v>
      </c>
      <c r="G337" s="2" t="n">
        <v>0</v>
      </c>
      <c r="H337" s="2" t="n">
        <v>0</v>
      </c>
      <c r="I337" s="2" t="n">
        <v>56.2</v>
      </c>
      <c r="J337" s="2" t="n">
        <v>10</v>
      </c>
      <c r="K337" s="2" t="s">
        <v>23</v>
      </c>
      <c r="L337" s="2" t="s">
        <v>16</v>
      </c>
      <c r="M337" s="2" t="s">
        <v>22</v>
      </c>
      <c r="N337" s="2" t="n">
        <v>0</v>
      </c>
    </row>
    <row r="338" customFormat="false" ht="15" hidden="false" customHeight="false" outlineLevel="0" collapsed="false">
      <c r="A338" s="2" t="s">
        <v>14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40.4</v>
      </c>
      <c r="K338" s="2" t="s">
        <v>18</v>
      </c>
      <c r="L338" s="2" t="s">
        <v>19</v>
      </c>
      <c r="M338" s="2" t="s">
        <v>20</v>
      </c>
      <c r="N338" s="2" t="n">
        <v>0</v>
      </c>
    </row>
    <row r="339" customFormat="false" ht="15" hidden="false" customHeight="false" outlineLevel="0" collapsed="false">
      <c r="A339" s="2" t="s">
        <v>14</v>
      </c>
      <c r="B339" s="2" t="n">
        <v>1</v>
      </c>
      <c r="C339" s="2" t="n">
        <v>1</v>
      </c>
      <c r="D339" s="2" t="n">
        <v>1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68.1</v>
      </c>
      <c r="K339" s="2" t="s">
        <v>21</v>
      </c>
      <c r="L339" s="2" t="s">
        <v>19</v>
      </c>
      <c r="M339" s="2" t="s">
        <v>20</v>
      </c>
      <c r="N339" s="2" t="n">
        <v>0</v>
      </c>
    </row>
    <row r="340" customFormat="false" ht="15" hidden="false" customHeight="false" outlineLevel="0" collapsed="false">
      <c r="A340" s="2" t="s">
        <v>14</v>
      </c>
      <c r="B340" s="2" t="n">
        <v>1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86.3</v>
      </c>
      <c r="K340" s="2" t="s">
        <v>18</v>
      </c>
      <c r="L340" s="2" t="s">
        <v>16</v>
      </c>
      <c r="M340" s="2" t="s">
        <v>20</v>
      </c>
      <c r="N340" s="2" t="n">
        <v>0</v>
      </c>
    </row>
    <row r="341" customFormat="false" ht="15" hidden="false" customHeight="false" outlineLevel="0" collapsed="false">
      <c r="A341" s="2" t="s">
        <v>14</v>
      </c>
      <c r="B341" s="2" t="n">
        <v>1</v>
      </c>
      <c r="C341" s="2" t="n">
        <v>1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42.9</v>
      </c>
      <c r="K341" s="2" t="s">
        <v>18</v>
      </c>
      <c r="L341" s="2" t="s">
        <v>16</v>
      </c>
      <c r="M341" s="2" t="s">
        <v>20</v>
      </c>
      <c r="N341" s="2" t="n">
        <v>0</v>
      </c>
    </row>
    <row r="342" customFormat="false" ht="15" hidden="false" customHeight="false" outlineLevel="0" collapsed="false">
      <c r="A342" s="2" t="s">
        <v>14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61.4</v>
      </c>
      <c r="K342" s="2" t="s">
        <v>18</v>
      </c>
      <c r="L342" s="2" t="s">
        <v>24</v>
      </c>
      <c r="M342" s="2" t="s">
        <v>20</v>
      </c>
      <c r="N342" s="2" t="n">
        <v>0</v>
      </c>
    </row>
    <row r="343" customFormat="false" ht="15" hidden="false" customHeight="false" outlineLevel="0" collapsed="false">
      <c r="A343" s="2" t="s">
        <v>14</v>
      </c>
      <c r="B343" s="2" t="n">
        <v>1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1</v>
      </c>
      <c r="H343" s="2" t="n">
        <v>0</v>
      </c>
      <c r="I343" s="2" t="n">
        <v>73.3</v>
      </c>
      <c r="K343" s="2" t="s">
        <v>15</v>
      </c>
      <c r="L343" s="2" t="s">
        <v>19</v>
      </c>
      <c r="M343" s="2" t="s">
        <v>20</v>
      </c>
      <c r="N343" s="2" t="n">
        <v>1</v>
      </c>
    </row>
    <row r="344" customFormat="false" ht="15" hidden="false" customHeight="false" outlineLevel="0" collapsed="false">
      <c r="A344" s="2" t="s">
        <v>14</v>
      </c>
      <c r="B344" s="2" t="n">
        <v>1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59.4</v>
      </c>
      <c r="K344" s="2" t="s">
        <v>23</v>
      </c>
      <c r="L344" s="2" t="s">
        <v>19</v>
      </c>
      <c r="M344" s="2" t="s">
        <v>17</v>
      </c>
      <c r="N344" s="2" t="n">
        <v>0</v>
      </c>
    </row>
    <row r="345" customFormat="false" ht="15" hidden="false" customHeight="false" outlineLevel="0" collapsed="false">
      <c r="A345" s="2" t="s">
        <v>14</v>
      </c>
      <c r="B345" s="2" t="n">
        <v>1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35.2</v>
      </c>
      <c r="K345" s="2" t="s">
        <v>23</v>
      </c>
      <c r="L345" s="2" t="s">
        <v>24</v>
      </c>
      <c r="M345" s="2" t="s">
        <v>17</v>
      </c>
      <c r="N345" s="2" t="n">
        <v>0</v>
      </c>
    </row>
    <row r="346" customFormat="false" ht="15" hidden="false" customHeight="false" outlineLevel="0" collapsed="false">
      <c r="A346" s="2" t="s">
        <v>14</v>
      </c>
      <c r="B346" s="2" t="n">
        <v>1</v>
      </c>
      <c r="C346" s="2" t="n">
        <v>1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55.3</v>
      </c>
      <c r="K346" s="2" t="s">
        <v>23</v>
      </c>
      <c r="L346" s="2" t="s">
        <v>19</v>
      </c>
      <c r="M346" s="2" t="s">
        <v>22</v>
      </c>
      <c r="N346" s="2" t="n">
        <v>0</v>
      </c>
    </row>
    <row r="347" customFormat="false" ht="15" hidden="false" customHeight="false" outlineLevel="0" collapsed="false">
      <c r="A347" s="2" t="s">
        <v>14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37.5</v>
      </c>
      <c r="K347" s="2" t="s">
        <v>21</v>
      </c>
      <c r="L347" s="2" t="s">
        <v>19</v>
      </c>
      <c r="M347" s="2" t="s">
        <v>20</v>
      </c>
      <c r="N347" s="2" t="n">
        <v>0</v>
      </c>
    </row>
    <row r="348" customFormat="false" ht="15" hidden="false" customHeight="false" outlineLevel="0" collapsed="false">
      <c r="A348" s="2" t="s">
        <v>14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1</v>
      </c>
      <c r="H348" s="2" t="n">
        <v>0</v>
      </c>
      <c r="I348" s="2" t="n">
        <v>66.4</v>
      </c>
      <c r="K348" s="2" t="s">
        <v>23</v>
      </c>
      <c r="L348" s="2" t="s">
        <v>16</v>
      </c>
      <c r="M348" s="2" t="s">
        <v>20</v>
      </c>
      <c r="N348" s="2" t="n">
        <v>1</v>
      </c>
    </row>
    <row r="349" customFormat="false" ht="15" hidden="false" customHeight="false" outlineLevel="0" collapsed="false">
      <c r="A349" s="2" t="s">
        <v>14</v>
      </c>
      <c r="B349" s="2" t="n">
        <v>1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61.9</v>
      </c>
      <c r="K349" s="2" t="s">
        <v>15</v>
      </c>
      <c r="L349" s="2" t="s">
        <v>24</v>
      </c>
      <c r="M349" s="2" t="s">
        <v>17</v>
      </c>
      <c r="N349" s="2" t="n">
        <v>0</v>
      </c>
    </row>
    <row r="350" customFormat="false" ht="15" hidden="false" customHeight="false" outlineLevel="0" collapsed="false">
      <c r="A350" s="2" t="s">
        <v>14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56</v>
      </c>
      <c r="K350" s="2" t="s">
        <v>21</v>
      </c>
      <c r="L350" s="2" t="s">
        <v>19</v>
      </c>
      <c r="M350" s="2" t="s">
        <v>20</v>
      </c>
      <c r="N350" s="2" t="n">
        <v>0</v>
      </c>
    </row>
    <row r="351" customFormat="false" ht="15" hidden="false" customHeight="false" outlineLevel="0" collapsed="false">
      <c r="A351" s="2" t="s">
        <v>14</v>
      </c>
      <c r="B351" s="2" t="n">
        <v>1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55.5</v>
      </c>
      <c r="K351" s="2" t="s">
        <v>23</v>
      </c>
      <c r="L351" s="2" t="s">
        <v>16</v>
      </c>
      <c r="M351" s="2" t="s">
        <v>17</v>
      </c>
      <c r="N351" s="2" t="n">
        <v>0</v>
      </c>
    </row>
    <row r="352" customFormat="false" ht="15" hidden="false" customHeight="false" outlineLevel="0" collapsed="false">
      <c r="A352" s="2" t="s">
        <v>14</v>
      </c>
      <c r="B352" s="2" t="n">
        <v>1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37.2</v>
      </c>
      <c r="K352" s="2" t="s">
        <v>18</v>
      </c>
      <c r="L352" s="2" t="s">
        <v>24</v>
      </c>
      <c r="M352" s="2" t="s">
        <v>17</v>
      </c>
      <c r="N352" s="2" t="n">
        <v>0</v>
      </c>
    </row>
    <row r="353" customFormat="false" ht="15" hidden="false" customHeight="false" outlineLevel="0" collapsed="false">
      <c r="A353" s="2" t="s">
        <v>14</v>
      </c>
      <c r="B353" s="2" t="n">
        <v>1</v>
      </c>
      <c r="C353" s="2" t="n">
        <v>1</v>
      </c>
      <c r="D353" s="2" t="n">
        <v>0</v>
      </c>
      <c r="E353" s="2" t="n">
        <v>0</v>
      </c>
      <c r="F353" s="2" t="n">
        <v>0</v>
      </c>
      <c r="G353" s="2" t="n">
        <v>1</v>
      </c>
      <c r="H353" s="2" t="n">
        <v>0</v>
      </c>
      <c r="I353" s="2" t="n">
        <v>70.5</v>
      </c>
      <c r="K353" s="2" t="s">
        <v>23</v>
      </c>
      <c r="L353" s="2" t="s">
        <v>16</v>
      </c>
      <c r="M353" s="2" t="s">
        <v>20</v>
      </c>
      <c r="N353" s="2" t="n">
        <v>1</v>
      </c>
    </row>
    <row r="354" customFormat="false" ht="15" hidden="false" customHeight="false" outlineLevel="0" collapsed="false">
      <c r="A354" s="2" t="s">
        <v>14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61.2</v>
      </c>
      <c r="K354" s="2" t="s">
        <v>15</v>
      </c>
      <c r="L354" s="2" t="s">
        <v>19</v>
      </c>
      <c r="M354" s="2" t="s">
        <v>20</v>
      </c>
      <c r="N354" s="2" t="n">
        <v>0</v>
      </c>
    </row>
    <row r="355" customFormat="false" ht="15" hidden="false" customHeight="false" outlineLevel="0" collapsed="false">
      <c r="A355" s="2" t="s">
        <v>14</v>
      </c>
      <c r="B355" s="2" t="n">
        <v>1</v>
      </c>
      <c r="C355" s="2" t="n">
        <v>1</v>
      </c>
      <c r="D355" s="2" t="n">
        <v>1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64.6</v>
      </c>
      <c r="K355" s="2" t="s">
        <v>21</v>
      </c>
      <c r="L355" s="2" t="s">
        <v>24</v>
      </c>
      <c r="M355" s="2" t="s">
        <v>20</v>
      </c>
      <c r="N355" s="2" t="n">
        <v>0</v>
      </c>
    </row>
    <row r="356" customFormat="false" ht="15" hidden="false" customHeight="false" outlineLevel="0" collapsed="false">
      <c r="A356" s="2" t="s">
        <v>14</v>
      </c>
      <c r="B356" s="2" t="n">
        <v>1</v>
      </c>
      <c r="C356" s="2" t="n">
        <v>1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91.7</v>
      </c>
      <c r="K356" s="2" t="s">
        <v>21</v>
      </c>
      <c r="L356" s="2" t="s">
        <v>19</v>
      </c>
      <c r="M356" s="2" t="s">
        <v>20</v>
      </c>
      <c r="N356" s="2" t="n">
        <v>0</v>
      </c>
    </row>
    <row r="357" customFormat="false" ht="15" hidden="false" customHeight="false" outlineLevel="0" collapsed="false">
      <c r="A357" s="2" t="s">
        <v>14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46</v>
      </c>
      <c r="K357" s="2" t="s">
        <v>18</v>
      </c>
      <c r="L357" s="2" t="s">
        <v>19</v>
      </c>
      <c r="M357" s="2" t="s">
        <v>20</v>
      </c>
      <c r="N357" s="2" t="n">
        <v>0</v>
      </c>
    </row>
    <row r="358" customFormat="false" ht="15" hidden="false" customHeight="false" outlineLevel="0" collapsed="false">
      <c r="A358" s="2" t="s">
        <v>14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50.8</v>
      </c>
      <c r="K358" s="2" t="s">
        <v>18</v>
      </c>
      <c r="L358" s="2" t="s">
        <v>19</v>
      </c>
      <c r="M358" s="2" t="s">
        <v>17</v>
      </c>
      <c r="N358" s="2" t="n">
        <v>0</v>
      </c>
    </row>
    <row r="359" customFormat="false" ht="15" hidden="false" customHeight="false" outlineLevel="0" collapsed="false">
      <c r="A359" s="2" t="s">
        <v>14</v>
      </c>
      <c r="B359" s="2" t="n">
        <v>1</v>
      </c>
      <c r="C359" s="2" t="n">
        <v>1</v>
      </c>
      <c r="D359" s="2" t="n">
        <v>1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52.8</v>
      </c>
      <c r="K359" s="2" t="s">
        <v>15</v>
      </c>
      <c r="L359" s="2" t="s">
        <v>24</v>
      </c>
      <c r="M359" s="2" t="s">
        <v>20</v>
      </c>
      <c r="N359" s="2" t="n">
        <v>0</v>
      </c>
    </row>
    <row r="360" customFormat="false" ht="15" hidden="false" customHeight="false" outlineLevel="0" collapsed="false">
      <c r="A360" s="2" t="s">
        <v>14</v>
      </c>
      <c r="B360" s="2" t="n">
        <v>1</v>
      </c>
      <c r="C360" s="2" t="n">
        <v>1</v>
      </c>
      <c r="D360" s="2" t="n">
        <v>1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63</v>
      </c>
      <c r="K360" s="2" t="s">
        <v>23</v>
      </c>
      <c r="L360" s="2" t="s">
        <v>19</v>
      </c>
      <c r="M360" s="2" t="s">
        <v>17</v>
      </c>
      <c r="N360" s="2" t="n">
        <v>0</v>
      </c>
    </row>
    <row r="361" customFormat="false" ht="15" hidden="false" customHeight="false" outlineLevel="0" collapsed="false">
      <c r="A361" s="2" t="s">
        <v>14</v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28.4</v>
      </c>
      <c r="K361" s="2" t="s">
        <v>18</v>
      </c>
      <c r="L361" s="2" t="s">
        <v>19</v>
      </c>
      <c r="M361" s="2" t="s">
        <v>20</v>
      </c>
      <c r="N361" s="2" t="n">
        <v>0</v>
      </c>
    </row>
    <row r="362" customFormat="false" ht="15" hidden="false" customHeight="false" outlineLevel="0" collapsed="false">
      <c r="A362" s="2" t="s">
        <v>14</v>
      </c>
      <c r="B362" s="2" t="n">
        <v>1</v>
      </c>
      <c r="C362" s="2" t="n">
        <v>1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65.6</v>
      </c>
      <c r="K362" s="2" t="s">
        <v>18</v>
      </c>
      <c r="L362" s="2" t="s">
        <v>16</v>
      </c>
      <c r="M362" s="2" t="s">
        <v>20</v>
      </c>
      <c r="N362" s="2" t="n">
        <v>0</v>
      </c>
    </row>
    <row r="363" customFormat="false" ht="15" hidden="false" customHeight="false" outlineLevel="0" collapsed="false">
      <c r="A363" s="2" t="s">
        <v>14</v>
      </c>
      <c r="B363" s="2" t="n">
        <v>1</v>
      </c>
      <c r="C363" s="2" t="n">
        <v>1</v>
      </c>
      <c r="D363" s="2" t="n">
        <v>1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54.7</v>
      </c>
      <c r="K363" s="2" t="s">
        <v>15</v>
      </c>
      <c r="L363" s="2" t="s">
        <v>19</v>
      </c>
      <c r="M363" s="2" t="s">
        <v>22</v>
      </c>
      <c r="N363" s="2" t="n">
        <v>0</v>
      </c>
    </row>
    <row r="364" customFormat="false" ht="15" hidden="false" customHeight="false" outlineLevel="0" collapsed="false">
      <c r="A364" s="2" t="s">
        <v>14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36.1</v>
      </c>
      <c r="K364" s="2" t="s">
        <v>15</v>
      </c>
      <c r="L364" s="2" t="s">
        <v>19</v>
      </c>
      <c r="M364" s="2" t="s">
        <v>17</v>
      </c>
      <c r="N364" s="2" t="n">
        <v>0</v>
      </c>
    </row>
    <row r="365" customFormat="false" ht="15" hidden="false" customHeight="false" outlineLevel="0" collapsed="false">
      <c r="A365" s="2" t="s">
        <v>14</v>
      </c>
      <c r="B365" s="2" t="n">
        <v>1</v>
      </c>
      <c r="C365" s="2" t="n">
        <v>1</v>
      </c>
      <c r="D365" s="2" t="n">
        <v>1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70.4</v>
      </c>
      <c r="K365" s="2" t="s">
        <v>23</v>
      </c>
      <c r="L365" s="2" t="s">
        <v>19</v>
      </c>
      <c r="M365" s="2" t="s">
        <v>17</v>
      </c>
      <c r="N365" s="2" t="n">
        <v>0</v>
      </c>
    </row>
    <row r="366" customFormat="false" ht="15" hidden="false" customHeight="false" outlineLevel="0" collapsed="false">
      <c r="A366" s="2" t="s">
        <v>14</v>
      </c>
      <c r="B366" s="2" t="n">
        <v>1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56.4</v>
      </c>
      <c r="K366" s="2" t="s">
        <v>21</v>
      </c>
      <c r="L366" s="2" t="s">
        <v>16</v>
      </c>
      <c r="M366" s="2" t="s">
        <v>20</v>
      </c>
      <c r="N366" s="2" t="n">
        <v>0</v>
      </c>
    </row>
    <row r="367" customFormat="false" ht="15" hidden="false" customHeight="false" outlineLevel="0" collapsed="false">
      <c r="A367" s="2" t="s">
        <v>14</v>
      </c>
      <c r="B367" s="2" t="n">
        <v>1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79.2</v>
      </c>
      <c r="K367" s="2" t="s">
        <v>23</v>
      </c>
      <c r="L367" s="2" t="s">
        <v>19</v>
      </c>
      <c r="M367" s="2" t="s">
        <v>20</v>
      </c>
      <c r="N367" s="2" t="n">
        <v>0</v>
      </c>
    </row>
    <row r="368" customFormat="false" ht="15" hidden="false" customHeight="false" outlineLevel="0" collapsed="false">
      <c r="A368" s="2" t="s">
        <v>14</v>
      </c>
      <c r="B368" s="2" t="n">
        <v>1</v>
      </c>
      <c r="C368" s="2" t="n">
        <v>1</v>
      </c>
      <c r="D368" s="2" t="n">
        <v>1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60.1</v>
      </c>
      <c r="K368" s="2" t="s">
        <v>21</v>
      </c>
      <c r="L368" s="2" t="s">
        <v>19</v>
      </c>
      <c r="M368" s="2" t="s">
        <v>20</v>
      </c>
      <c r="N368" s="2" t="n">
        <v>0</v>
      </c>
    </row>
    <row r="369" customFormat="false" ht="15" hidden="false" customHeight="false" outlineLevel="0" collapsed="false">
      <c r="A369" s="2" t="s">
        <v>14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58</v>
      </c>
      <c r="K369" s="2" t="s">
        <v>23</v>
      </c>
      <c r="L369" s="2" t="s">
        <v>24</v>
      </c>
      <c r="M369" s="2" t="s">
        <v>20</v>
      </c>
      <c r="N369" s="2" t="n">
        <v>0</v>
      </c>
    </row>
    <row r="370" customFormat="false" ht="15" hidden="false" customHeight="false" outlineLevel="0" collapsed="false">
      <c r="A370" s="2" t="s">
        <v>14</v>
      </c>
      <c r="B370" s="2" t="n">
        <v>1</v>
      </c>
      <c r="C370" s="2" t="n">
        <v>1</v>
      </c>
      <c r="D370" s="2" t="n">
        <v>1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69</v>
      </c>
      <c r="K370" s="2" t="s">
        <v>23</v>
      </c>
      <c r="L370" s="2" t="s">
        <v>19</v>
      </c>
      <c r="M370" s="2" t="s">
        <v>20</v>
      </c>
      <c r="N370" s="2" t="n">
        <v>0</v>
      </c>
    </row>
    <row r="371" customFormat="false" ht="15" hidden="false" customHeight="false" outlineLevel="0" collapsed="false">
      <c r="A371" s="2" t="s">
        <v>14</v>
      </c>
      <c r="B371" s="2" t="n">
        <v>1</v>
      </c>
      <c r="C371" s="2" t="n">
        <v>1</v>
      </c>
      <c r="D371" s="2" t="n">
        <v>1</v>
      </c>
      <c r="E371" s="2" t="n">
        <v>0</v>
      </c>
      <c r="F371" s="2" t="n">
        <v>0</v>
      </c>
      <c r="G371" s="2" t="n">
        <v>1</v>
      </c>
      <c r="H371" s="2" t="n">
        <v>0</v>
      </c>
      <c r="I371" s="2" t="n">
        <v>80.8</v>
      </c>
      <c r="K371" s="2" t="s">
        <v>15</v>
      </c>
      <c r="L371" s="2" t="s">
        <v>19</v>
      </c>
      <c r="M371" s="2" t="s">
        <v>22</v>
      </c>
      <c r="N371" s="2" t="n">
        <v>1</v>
      </c>
    </row>
    <row r="372" customFormat="false" ht="15" hidden="false" customHeight="false" outlineLevel="0" collapsed="false">
      <c r="A372" s="2" t="s">
        <v>14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32.8</v>
      </c>
      <c r="K372" s="2" t="s">
        <v>21</v>
      </c>
      <c r="L372" s="2" t="s">
        <v>19</v>
      </c>
      <c r="M372" s="2" t="s">
        <v>20</v>
      </c>
      <c r="N372" s="2" t="n">
        <v>0</v>
      </c>
    </row>
    <row r="373" customFormat="false" ht="15" hidden="false" customHeight="false" outlineLevel="0" collapsed="false">
      <c r="A373" s="2" t="s">
        <v>14</v>
      </c>
      <c r="B373" s="2" t="n">
        <v>1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56</v>
      </c>
      <c r="K373" s="2" t="s">
        <v>15</v>
      </c>
      <c r="L373" s="2" t="s">
        <v>16</v>
      </c>
      <c r="M373" s="2" t="s">
        <v>22</v>
      </c>
      <c r="N373" s="2" t="n">
        <v>0</v>
      </c>
    </row>
    <row r="374" customFormat="false" ht="15" hidden="false" customHeight="false" outlineLevel="0" collapsed="false">
      <c r="A374" s="2" t="s">
        <v>14</v>
      </c>
      <c r="B374" s="2" t="n">
        <v>1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76.4</v>
      </c>
      <c r="K374" s="2" t="s">
        <v>21</v>
      </c>
      <c r="L374" s="2" t="s">
        <v>16</v>
      </c>
      <c r="M374" s="2" t="s">
        <v>20</v>
      </c>
      <c r="N374" s="2" t="n">
        <v>0</v>
      </c>
    </row>
    <row r="375" customFormat="false" ht="15" hidden="false" customHeight="false" outlineLevel="0" collapsed="false">
      <c r="A375" s="2" t="s">
        <v>14</v>
      </c>
      <c r="B375" s="2" t="n">
        <v>1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28.5</v>
      </c>
      <c r="K375" s="2" t="s">
        <v>15</v>
      </c>
      <c r="L375" s="2" t="s">
        <v>19</v>
      </c>
      <c r="M375" s="2" t="s">
        <v>20</v>
      </c>
      <c r="N375" s="2" t="n">
        <v>0</v>
      </c>
    </row>
    <row r="376" customFormat="false" ht="15" hidden="false" customHeight="false" outlineLevel="0" collapsed="false">
      <c r="A376" s="2" t="s">
        <v>14</v>
      </c>
      <c r="B376" s="2" t="n">
        <v>1</v>
      </c>
      <c r="C376" s="2" t="n">
        <v>1</v>
      </c>
      <c r="D376" s="2" t="n">
        <v>1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48.3</v>
      </c>
      <c r="K376" s="2" t="s">
        <v>23</v>
      </c>
      <c r="L376" s="2" t="s">
        <v>16</v>
      </c>
      <c r="M376" s="2" t="s">
        <v>17</v>
      </c>
      <c r="N376" s="2" t="n">
        <v>0</v>
      </c>
    </row>
    <row r="377" customFormat="false" ht="15" hidden="false" customHeight="false" outlineLevel="0" collapsed="false">
      <c r="A377" s="2" t="s">
        <v>14</v>
      </c>
      <c r="B377" s="2" t="n">
        <v>1</v>
      </c>
      <c r="C377" s="2" t="n">
        <v>1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43.4</v>
      </c>
      <c r="K377" s="2" t="s">
        <v>18</v>
      </c>
      <c r="L377" s="2" t="s">
        <v>19</v>
      </c>
      <c r="M377" s="2" t="s">
        <v>20</v>
      </c>
      <c r="N377" s="2" t="n">
        <v>0</v>
      </c>
    </row>
    <row r="378" customFormat="false" ht="15" hidden="false" customHeight="false" outlineLevel="0" collapsed="false">
      <c r="A378" s="2" t="s">
        <v>14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43</v>
      </c>
      <c r="K378" s="2" t="s">
        <v>15</v>
      </c>
      <c r="L378" s="2" t="s">
        <v>19</v>
      </c>
      <c r="M378" s="2" t="s">
        <v>20</v>
      </c>
      <c r="N378" s="2" t="n">
        <v>0</v>
      </c>
    </row>
    <row r="379" customFormat="false" ht="15" hidden="false" customHeight="false" outlineLevel="0" collapsed="false">
      <c r="A379" s="2" t="s">
        <v>14</v>
      </c>
      <c r="B379" s="2" t="n">
        <v>1</v>
      </c>
      <c r="C379" s="2" t="n">
        <v>1</v>
      </c>
      <c r="D379" s="2" t="n">
        <v>1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91.8</v>
      </c>
      <c r="K379" s="2" t="s">
        <v>21</v>
      </c>
      <c r="L379" s="2" t="s">
        <v>19</v>
      </c>
      <c r="M379" s="2" t="s">
        <v>17</v>
      </c>
      <c r="N379" s="2" t="n">
        <v>0</v>
      </c>
    </row>
    <row r="380" customFormat="false" ht="15" hidden="false" customHeight="false" outlineLevel="0" collapsed="false">
      <c r="A380" s="2" t="s">
        <v>14</v>
      </c>
      <c r="B380" s="2" t="n">
        <v>1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1</v>
      </c>
      <c r="H380" s="2" t="n">
        <v>0</v>
      </c>
      <c r="I380" s="2" t="n">
        <v>69.3</v>
      </c>
      <c r="K380" s="2" t="s">
        <v>18</v>
      </c>
      <c r="L380" s="2" t="s">
        <v>24</v>
      </c>
      <c r="M380" s="2" t="s">
        <v>17</v>
      </c>
      <c r="N380" s="2" t="n">
        <v>1</v>
      </c>
    </row>
    <row r="381" customFormat="false" ht="15" hidden="false" customHeight="false" outlineLevel="0" collapsed="false">
      <c r="A381" s="2" t="s">
        <v>14</v>
      </c>
      <c r="B381" s="2" t="n">
        <v>1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58.9</v>
      </c>
      <c r="K381" s="2" t="s">
        <v>23</v>
      </c>
      <c r="L381" s="2" t="s">
        <v>16</v>
      </c>
      <c r="M381" s="2" t="s">
        <v>17</v>
      </c>
      <c r="N381" s="2" t="n">
        <v>0</v>
      </c>
    </row>
    <row r="382" customFormat="false" ht="15" hidden="false" customHeight="false" outlineLevel="0" collapsed="false">
      <c r="A382" s="2" t="s">
        <v>14</v>
      </c>
      <c r="B382" s="2" t="n">
        <v>1</v>
      </c>
      <c r="C382" s="2" t="n">
        <v>1</v>
      </c>
      <c r="D382" s="2" t="n">
        <v>1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76</v>
      </c>
      <c r="K382" s="2" t="s">
        <v>18</v>
      </c>
      <c r="L382" s="2" t="s">
        <v>19</v>
      </c>
      <c r="M382" s="2" t="s">
        <v>20</v>
      </c>
      <c r="N382" s="2" t="n">
        <v>0</v>
      </c>
    </row>
    <row r="383" customFormat="false" ht="15" hidden="false" customHeight="false" outlineLevel="0" collapsed="false">
      <c r="A383" s="2" t="s">
        <v>14</v>
      </c>
      <c r="B383" s="2" t="n">
        <v>1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46</v>
      </c>
      <c r="K383" s="2" t="s">
        <v>23</v>
      </c>
      <c r="L383" s="2" t="s">
        <v>19</v>
      </c>
      <c r="M383" s="2" t="s">
        <v>22</v>
      </c>
      <c r="N383" s="2" t="n">
        <v>0</v>
      </c>
    </row>
    <row r="384" customFormat="false" ht="15" hidden="false" customHeight="false" outlineLevel="0" collapsed="false">
      <c r="A384" s="2" t="s">
        <v>14</v>
      </c>
      <c r="B384" s="2" t="n">
        <v>1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54.1</v>
      </c>
      <c r="K384" s="2" t="s">
        <v>21</v>
      </c>
      <c r="L384" s="2" t="s">
        <v>19</v>
      </c>
      <c r="M384" s="2" t="s">
        <v>20</v>
      </c>
      <c r="N384" s="2" t="n">
        <v>0</v>
      </c>
    </row>
    <row r="385" customFormat="false" ht="15" hidden="false" customHeight="false" outlineLevel="0" collapsed="false">
      <c r="A385" s="2" t="s">
        <v>14</v>
      </c>
      <c r="B385" s="2" t="n">
        <v>1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82.4</v>
      </c>
      <c r="K385" s="2" t="s">
        <v>18</v>
      </c>
      <c r="L385" s="2" t="s">
        <v>19</v>
      </c>
      <c r="M385" s="2" t="s">
        <v>17</v>
      </c>
      <c r="N385" s="2" t="n">
        <v>0</v>
      </c>
    </row>
    <row r="386" customFormat="false" ht="15" hidden="false" customHeight="false" outlineLevel="0" collapsed="false">
      <c r="A386" s="2" t="s">
        <v>14</v>
      </c>
      <c r="B386" s="2" t="n">
        <v>1</v>
      </c>
      <c r="C386" s="2" t="n">
        <v>1</v>
      </c>
      <c r="D386" s="2" t="n">
        <v>1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71.9</v>
      </c>
      <c r="K386" s="2" t="s">
        <v>23</v>
      </c>
      <c r="L386" s="2" t="s">
        <v>19</v>
      </c>
      <c r="M386" s="2" t="s">
        <v>17</v>
      </c>
      <c r="N386" s="2" t="n">
        <v>0</v>
      </c>
    </row>
    <row r="387" customFormat="false" ht="15" hidden="false" customHeight="false" outlineLevel="0" collapsed="false">
      <c r="A387" s="2" t="s">
        <v>14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1</v>
      </c>
      <c r="H387" s="2" t="n">
        <v>0</v>
      </c>
      <c r="I387" s="2" t="n">
        <v>38</v>
      </c>
      <c r="K387" s="2" t="s">
        <v>21</v>
      </c>
      <c r="L387" s="2" t="s">
        <v>19</v>
      </c>
      <c r="M387" s="2" t="s">
        <v>20</v>
      </c>
      <c r="N387" s="2" t="n">
        <v>2</v>
      </c>
    </row>
    <row r="388" customFormat="false" ht="15" hidden="false" customHeight="false" outlineLevel="0" collapsed="false">
      <c r="A388" s="2" t="s">
        <v>14</v>
      </c>
      <c r="B388" s="2" t="n">
        <v>1</v>
      </c>
      <c r="C388" s="2" t="n">
        <v>1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43.7</v>
      </c>
      <c r="K388" s="2" t="s">
        <v>21</v>
      </c>
      <c r="L388" s="2" t="s">
        <v>19</v>
      </c>
      <c r="M388" s="2" t="s">
        <v>20</v>
      </c>
      <c r="N388" s="2" t="n">
        <v>0</v>
      </c>
    </row>
    <row r="389" customFormat="false" ht="15" hidden="false" customHeight="false" outlineLevel="0" collapsed="false">
      <c r="A389" s="2" t="s">
        <v>14</v>
      </c>
      <c r="B389" s="2" t="n">
        <v>1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1</v>
      </c>
      <c r="H389" s="2" t="n">
        <v>0</v>
      </c>
      <c r="I389" s="2" t="n">
        <v>32.2</v>
      </c>
      <c r="K389" s="2" t="s">
        <v>18</v>
      </c>
      <c r="L389" s="2" t="s">
        <v>16</v>
      </c>
      <c r="M389" s="2" t="s">
        <v>22</v>
      </c>
      <c r="N389" s="2" t="n">
        <v>1</v>
      </c>
    </row>
    <row r="390" customFormat="false" ht="15" hidden="false" customHeight="false" outlineLevel="0" collapsed="false">
      <c r="A390" s="2" t="s">
        <v>14</v>
      </c>
      <c r="B390" s="2" t="n">
        <v>1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61</v>
      </c>
      <c r="K390" s="2" t="s">
        <v>23</v>
      </c>
      <c r="L390" s="2" t="s">
        <v>19</v>
      </c>
      <c r="M390" s="2" t="s">
        <v>22</v>
      </c>
      <c r="N390" s="2" t="n">
        <v>0</v>
      </c>
    </row>
    <row r="391" customFormat="false" ht="15" hidden="false" customHeight="false" outlineLevel="0" collapsed="false">
      <c r="A391" s="2" t="s">
        <v>14</v>
      </c>
      <c r="B391" s="2" t="n">
        <v>1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49</v>
      </c>
      <c r="K391" s="2" t="s">
        <v>23</v>
      </c>
      <c r="L391" s="2" t="s">
        <v>19</v>
      </c>
      <c r="M391" s="2" t="s">
        <v>20</v>
      </c>
      <c r="N391" s="2" t="n">
        <v>0</v>
      </c>
    </row>
    <row r="392" customFormat="false" ht="15" hidden="false" customHeight="false" outlineLevel="0" collapsed="false">
      <c r="A392" s="2" t="s">
        <v>14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48.1</v>
      </c>
      <c r="K392" s="2" t="s">
        <v>21</v>
      </c>
      <c r="L392" s="2" t="s">
        <v>19</v>
      </c>
      <c r="M392" s="2" t="s">
        <v>20</v>
      </c>
      <c r="N392" s="2" t="n">
        <v>0</v>
      </c>
    </row>
    <row r="393" customFormat="false" ht="15" hidden="false" customHeight="false" outlineLevel="0" collapsed="false">
      <c r="A393" s="2" t="s">
        <v>14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1</v>
      </c>
      <c r="H393" s="2" t="n">
        <v>0</v>
      </c>
      <c r="I393" s="2" t="n">
        <v>46.3</v>
      </c>
      <c r="K393" s="2" t="s">
        <v>23</v>
      </c>
      <c r="L393" s="2" t="s">
        <v>16</v>
      </c>
      <c r="M393" s="2" t="s">
        <v>20</v>
      </c>
      <c r="N393" s="2" t="n">
        <v>2</v>
      </c>
    </row>
    <row r="394" customFormat="false" ht="15" hidden="false" customHeight="false" outlineLevel="0" collapsed="false">
      <c r="A394" s="2" t="s">
        <v>14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64</v>
      </c>
      <c r="K394" s="2" t="s">
        <v>15</v>
      </c>
      <c r="L394" s="2" t="s">
        <v>19</v>
      </c>
      <c r="M394" s="2" t="s">
        <v>20</v>
      </c>
      <c r="N394" s="2" t="n">
        <v>0</v>
      </c>
    </row>
    <row r="395" customFormat="false" ht="15" hidden="false" customHeight="false" outlineLevel="0" collapsed="false">
      <c r="A395" s="2" t="s">
        <v>14</v>
      </c>
      <c r="B395" s="2" t="n">
        <v>1</v>
      </c>
      <c r="C395" s="2" t="n">
        <v>1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56.2</v>
      </c>
      <c r="K395" s="2" t="s">
        <v>18</v>
      </c>
      <c r="L395" s="2" t="s">
        <v>16</v>
      </c>
      <c r="M395" s="2" t="s">
        <v>17</v>
      </c>
      <c r="N395" s="2" t="n">
        <v>0</v>
      </c>
    </row>
    <row r="396" customFormat="false" ht="15" hidden="false" customHeight="false" outlineLevel="0" collapsed="false">
      <c r="A396" s="2" t="s">
        <v>14</v>
      </c>
      <c r="B396" s="2" t="n">
        <v>1</v>
      </c>
      <c r="C396" s="2" t="n">
        <v>1</v>
      </c>
      <c r="D396" s="2" t="n">
        <v>1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77.5</v>
      </c>
      <c r="K396" s="2" t="s">
        <v>15</v>
      </c>
      <c r="L396" s="2" t="s">
        <v>19</v>
      </c>
      <c r="M396" s="2" t="s">
        <v>20</v>
      </c>
      <c r="N396" s="2" t="n">
        <v>0</v>
      </c>
    </row>
    <row r="397" customFormat="false" ht="15" hidden="false" customHeight="false" outlineLevel="0" collapsed="false">
      <c r="A397" s="2" t="s">
        <v>14</v>
      </c>
      <c r="B397" s="2" t="n">
        <v>1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59.9</v>
      </c>
      <c r="K397" s="2" t="s">
        <v>23</v>
      </c>
      <c r="L397" s="2" t="s">
        <v>16</v>
      </c>
      <c r="M397" s="2" t="s">
        <v>17</v>
      </c>
      <c r="N397" s="2" t="n">
        <v>0</v>
      </c>
    </row>
    <row r="398" customFormat="false" ht="15" hidden="false" customHeight="false" outlineLevel="0" collapsed="false">
      <c r="A398" s="2" t="s">
        <v>14</v>
      </c>
      <c r="B398" s="2" t="n">
        <v>1</v>
      </c>
      <c r="C398" s="2" t="n">
        <v>1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63</v>
      </c>
      <c r="K398" s="2" t="s">
        <v>23</v>
      </c>
      <c r="L398" s="2" t="s">
        <v>16</v>
      </c>
      <c r="M398" s="2" t="s">
        <v>20</v>
      </c>
      <c r="N398" s="2" t="n">
        <v>0</v>
      </c>
    </row>
    <row r="399" customFormat="false" ht="15" hidden="false" customHeight="false" outlineLevel="0" collapsed="false">
      <c r="A399" s="2" t="s">
        <v>14</v>
      </c>
      <c r="B399" s="2" t="n">
        <v>1</v>
      </c>
      <c r="C399" s="2" t="n">
        <v>1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76.5</v>
      </c>
      <c r="K399" s="2" t="s">
        <v>23</v>
      </c>
      <c r="L399" s="2" t="s">
        <v>19</v>
      </c>
      <c r="M399" s="2" t="s">
        <v>20</v>
      </c>
      <c r="N399" s="2" t="n">
        <v>0</v>
      </c>
    </row>
    <row r="400" customFormat="false" ht="15" hidden="false" customHeight="false" outlineLevel="0" collapsed="false">
      <c r="A400" s="2" t="s">
        <v>14</v>
      </c>
      <c r="B400" s="2" t="n">
        <v>1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39.7</v>
      </c>
      <c r="K400" s="2" t="s">
        <v>15</v>
      </c>
      <c r="L400" s="2" t="s">
        <v>16</v>
      </c>
      <c r="M400" s="2" t="s">
        <v>20</v>
      </c>
      <c r="N400" s="2" t="n">
        <v>0</v>
      </c>
    </row>
    <row r="401" customFormat="false" ht="15" hidden="false" customHeight="false" outlineLevel="0" collapsed="false">
      <c r="A401" s="2" t="s">
        <v>14</v>
      </c>
      <c r="B401" s="2" t="n">
        <v>1</v>
      </c>
      <c r="C401" s="2" t="n">
        <v>1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80.2</v>
      </c>
      <c r="K401" s="2" t="s">
        <v>15</v>
      </c>
      <c r="L401" s="2" t="s">
        <v>19</v>
      </c>
      <c r="M401" s="2" t="s">
        <v>20</v>
      </c>
      <c r="N401" s="2" t="n">
        <v>0</v>
      </c>
    </row>
    <row r="402" customFormat="false" ht="15" hidden="false" customHeight="false" outlineLevel="0" collapsed="false">
      <c r="A402" s="2" t="s">
        <v>14</v>
      </c>
      <c r="B402" s="2" t="n">
        <v>1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72.2</v>
      </c>
      <c r="K402" s="2" t="s">
        <v>18</v>
      </c>
      <c r="L402" s="2" t="s">
        <v>19</v>
      </c>
      <c r="M402" s="2" t="s">
        <v>20</v>
      </c>
      <c r="N402" s="2" t="n">
        <v>0</v>
      </c>
    </row>
    <row r="403" customFormat="false" ht="15" hidden="false" customHeight="false" outlineLevel="0" collapsed="false">
      <c r="A403" s="2" t="s">
        <v>14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56</v>
      </c>
      <c r="K403" s="2" t="s">
        <v>15</v>
      </c>
      <c r="L403" s="2" t="s">
        <v>19</v>
      </c>
      <c r="M403" s="2" t="s">
        <v>17</v>
      </c>
      <c r="N403" s="2" t="n">
        <v>0</v>
      </c>
    </row>
    <row r="404" customFormat="false" ht="15" hidden="false" customHeight="false" outlineLevel="0" collapsed="false">
      <c r="A404" s="2" t="s">
        <v>14</v>
      </c>
      <c r="B404" s="2" t="n">
        <v>1</v>
      </c>
      <c r="C404" s="2" t="n">
        <v>1</v>
      </c>
      <c r="D404" s="2" t="n">
        <v>1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69.1</v>
      </c>
      <c r="K404" s="2" t="s">
        <v>18</v>
      </c>
      <c r="L404" s="2" t="s">
        <v>19</v>
      </c>
      <c r="M404" s="2" t="s">
        <v>17</v>
      </c>
      <c r="N404" s="2" t="n">
        <v>0</v>
      </c>
    </row>
    <row r="405" customFormat="false" ht="15" hidden="false" customHeight="false" outlineLevel="0" collapsed="false">
      <c r="A405" s="2" t="s">
        <v>14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1</v>
      </c>
      <c r="H405" s="2" t="n">
        <v>0</v>
      </c>
      <c r="I405" s="2" t="n">
        <v>70.6</v>
      </c>
      <c r="K405" s="2" t="s">
        <v>15</v>
      </c>
      <c r="L405" s="2" t="s">
        <v>19</v>
      </c>
      <c r="M405" s="2" t="s">
        <v>22</v>
      </c>
      <c r="N405" s="2" t="n">
        <v>1</v>
      </c>
    </row>
    <row r="406" customFormat="false" ht="15" hidden="false" customHeight="false" outlineLevel="0" collapsed="false">
      <c r="A406" s="2" t="s">
        <v>14</v>
      </c>
      <c r="B406" s="2" t="n">
        <v>1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57.9</v>
      </c>
      <c r="K406" s="2" t="s">
        <v>18</v>
      </c>
      <c r="L406" s="2" t="s">
        <v>16</v>
      </c>
      <c r="M406" s="2" t="s">
        <v>20</v>
      </c>
      <c r="N406" s="2" t="n">
        <v>0</v>
      </c>
    </row>
    <row r="407" customFormat="false" ht="15" hidden="false" customHeight="false" outlineLevel="0" collapsed="false">
      <c r="A407" s="2" t="s">
        <v>14</v>
      </c>
      <c r="B407" s="2" t="n">
        <v>1</v>
      </c>
      <c r="C407" s="2" t="n">
        <v>1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41.4</v>
      </c>
      <c r="K407" s="2" t="s">
        <v>21</v>
      </c>
      <c r="L407" s="2" t="s">
        <v>19</v>
      </c>
      <c r="M407" s="2" t="s">
        <v>17</v>
      </c>
      <c r="N407" s="2" t="n">
        <v>0</v>
      </c>
    </row>
    <row r="408" customFormat="false" ht="15" hidden="false" customHeight="false" outlineLevel="0" collapsed="false">
      <c r="A408" s="2" t="s">
        <v>14</v>
      </c>
      <c r="B408" s="2" t="n">
        <v>1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60.9</v>
      </c>
      <c r="K408" s="2" t="s">
        <v>18</v>
      </c>
      <c r="L408" s="2" t="s">
        <v>19</v>
      </c>
      <c r="M408" s="2" t="s">
        <v>17</v>
      </c>
      <c r="N408" s="2" t="n">
        <v>0</v>
      </c>
    </row>
    <row r="409" customFormat="false" ht="15" hidden="false" customHeight="false" outlineLevel="0" collapsed="false">
      <c r="A409" s="2" t="s">
        <v>14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1</v>
      </c>
      <c r="H409" s="2" t="n">
        <v>0</v>
      </c>
      <c r="I409" s="2" t="n">
        <v>63.8</v>
      </c>
      <c r="K409" s="2" t="s">
        <v>23</v>
      </c>
      <c r="L409" s="2" t="s">
        <v>19</v>
      </c>
      <c r="M409" s="2" t="s">
        <v>17</v>
      </c>
      <c r="N409" s="2" t="n">
        <v>1</v>
      </c>
    </row>
    <row r="410" customFormat="false" ht="15" hidden="false" customHeight="false" outlineLevel="0" collapsed="false">
      <c r="A410" s="2" t="s">
        <v>14</v>
      </c>
      <c r="B410" s="2" t="n">
        <v>1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79.2</v>
      </c>
      <c r="K410" s="2" t="s">
        <v>15</v>
      </c>
      <c r="L410" s="2" t="s">
        <v>16</v>
      </c>
      <c r="M410" s="2" t="s">
        <v>22</v>
      </c>
      <c r="N410" s="2" t="n">
        <v>0</v>
      </c>
    </row>
    <row r="411" customFormat="false" ht="15" hidden="false" customHeight="false" outlineLevel="0" collapsed="false">
      <c r="A411" s="2" t="s">
        <v>14</v>
      </c>
      <c r="B411" s="2" t="n">
        <v>1</v>
      </c>
      <c r="C411" s="2" t="n">
        <v>1</v>
      </c>
      <c r="D411" s="2" t="n">
        <v>1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53.3</v>
      </c>
      <c r="K411" s="2" t="s">
        <v>18</v>
      </c>
      <c r="L411" s="2" t="s">
        <v>19</v>
      </c>
      <c r="M411" s="2" t="s">
        <v>22</v>
      </c>
      <c r="N411" s="2" t="n">
        <v>0</v>
      </c>
    </row>
    <row r="412" customFormat="false" ht="15" hidden="false" customHeight="false" outlineLevel="0" collapsed="false">
      <c r="A412" s="2" t="s">
        <v>14</v>
      </c>
      <c r="B412" s="2" t="n">
        <v>1</v>
      </c>
      <c r="C412" s="2" t="n">
        <v>1</v>
      </c>
      <c r="D412" s="2" t="n">
        <v>1</v>
      </c>
      <c r="E412" s="2" t="n">
        <v>1</v>
      </c>
      <c r="F412" s="2" t="n">
        <v>2144.82</v>
      </c>
      <c r="G412" s="2" t="n">
        <v>0</v>
      </c>
      <c r="H412" s="2" t="n">
        <v>0</v>
      </c>
      <c r="I412" s="2" t="n">
        <v>52.3</v>
      </c>
      <c r="J412" s="2" t="n">
        <v>6</v>
      </c>
      <c r="K412" s="2" t="s">
        <v>15</v>
      </c>
      <c r="L412" s="2" t="s">
        <v>19</v>
      </c>
      <c r="M412" s="2" t="s">
        <v>22</v>
      </c>
      <c r="N412" s="2" t="n">
        <v>0</v>
      </c>
    </row>
    <row r="413" customFormat="false" ht="15" hidden="false" customHeight="false" outlineLevel="0" collapsed="false">
      <c r="A413" s="2" t="s">
        <v>14</v>
      </c>
      <c r="B413" s="2" t="n">
        <v>1</v>
      </c>
      <c r="C413" s="2" t="n">
        <v>1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62.4</v>
      </c>
      <c r="K413" s="2" t="s">
        <v>18</v>
      </c>
      <c r="L413" s="2" t="s">
        <v>16</v>
      </c>
      <c r="M413" s="2" t="s">
        <v>17</v>
      </c>
      <c r="N413" s="2" t="n">
        <v>0</v>
      </c>
    </row>
    <row r="414" customFormat="false" ht="15" hidden="false" customHeight="false" outlineLevel="0" collapsed="false">
      <c r="A414" s="2" t="s">
        <v>14</v>
      </c>
      <c r="B414" s="2" t="n">
        <v>1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45.5</v>
      </c>
      <c r="K414" s="2" t="s">
        <v>15</v>
      </c>
      <c r="L414" s="2" t="s">
        <v>19</v>
      </c>
      <c r="M414" s="2" t="s">
        <v>22</v>
      </c>
      <c r="N414" s="2" t="n">
        <v>0</v>
      </c>
    </row>
    <row r="415" customFormat="false" ht="15" hidden="false" customHeight="false" outlineLevel="0" collapsed="false">
      <c r="A415" s="2" t="s">
        <v>14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1</v>
      </c>
      <c r="H415" s="2" t="n">
        <v>0</v>
      </c>
      <c r="I415" s="2" t="n">
        <v>72.6</v>
      </c>
      <c r="K415" s="2" t="s">
        <v>21</v>
      </c>
      <c r="L415" s="2" t="s">
        <v>16</v>
      </c>
      <c r="M415" s="2" t="s">
        <v>17</v>
      </c>
      <c r="N415" s="2" t="n">
        <v>1</v>
      </c>
    </row>
    <row r="416" customFormat="false" ht="15" hidden="false" customHeight="false" outlineLevel="0" collapsed="false">
      <c r="A416" s="2" t="s">
        <v>14</v>
      </c>
      <c r="B416" s="2" t="n">
        <v>1</v>
      </c>
      <c r="C416" s="2" t="n">
        <v>1</v>
      </c>
      <c r="D416" s="2" t="n">
        <v>1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50.1</v>
      </c>
      <c r="K416" s="2" t="s">
        <v>23</v>
      </c>
      <c r="L416" s="2" t="s">
        <v>19</v>
      </c>
      <c r="M416" s="2" t="s">
        <v>22</v>
      </c>
      <c r="N416" s="2" t="n">
        <v>0</v>
      </c>
    </row>
    <row r="417" customFormat="false" ht="15" hidden="false" customHeight="false" outlineLevel="0" collapsed="false">
      <c r="A417" s="2" t="s">
        <v>14</v>
      </c>
      <c r="B417" s="2" t="n">
        <v>1</v>
      </c>
      <c r="C417" s="2" t="n">
        <v>1</v>
      </c>
      <c r="D417" s="2" t="n">
        <v>1</v>
      </c>
      <c r="E417" s="2" t="n">
        <v>0</v>
      </c>
      <c r="F417" s="2" t="n">
        <v>0</v>
      </c>
      <c r="G417" s="2" t="n">
        <v>1</v>
      </c>
      <c r="H417" s="2" t="n">
        <v>0</v>
      </c>
      <c r="I417" s="2" t="n">
        <v>58.1</v>
      </c>
      <c r="K417" s="2" t="s">
        <v>21</v>
      </c>
      <c r="L417" s="2" t="s">
        <v>16</v>
      </c>
      <c r="M417" s="2" t="s">
        <v>20</v>
      </c>
      <c r="N417" s="2" t="n">
        <v>2</v>
      </c>
    </row>
    <row r="418" customFormat="false" ht="15" hidden="false" customHeight="false" outlineLevel="0" collapsed="false">
      <c r="A418" s="2" t="s">
        <v>14</v>
      </c>
      <c r="B418" s="2" t="n">
        <v>1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42.9</v>
      </c>
      <c r="K418" s="2" t="s">
        <v>21</v>
      </c>
      <c r="L418" s="2" t="s">
        <v>19</v>
      </c>
      <c r="M418" s="2" t="s">
        <v>17</v>
      </c>
      <c r="N418" s="2" t="n">
        <v>0</v>
      </c>
    </row>
    <row r="419" customFormat="false" ht="15" hidden="false" customHeight="false" outlineLevel="0" collapsed="false">
      <c r="A419" s="2" t="s">
        <v>14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69.7</v>
      </c>
      <c r="K419" s="2" t="s">
        <v>15</v>
      </c>
      <c r="L419" s="2" t="s">
        <v>19</v>
      </c>
      <c r="M419" s="2" t="s">
        <v>17</v>
      </c>
      <c r="N419" s="2" t="n">
        <v>0</v>
      </c>
    </row>
    <row r="420" customFormat="false" ht="15" hidden="false" customHeight="false" outlineLevel="0" collapsed="false">
      <c r="A420" s="2" t="s">
        <v>14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63.3</v>
      </c>
      <c r="K420" s="2" t="s">
        <v>15</v>
      </c>
      <c r="L420" s="2" t="s">
        <v>16</v>
      </c>
      <c r="M420" s="2" t="s">
        <v>20</v>
      </c>
      <c r="N420" s="2" t="n">
        <v>0</v>
      </c>
    </row>
    <row r="421" customFormat="false" ht="15" hidden="false" customHeight="false" outlineLevel="0" collapsed="false">
      <c r="A421" s="2" t="s">
        <v>14</v>
      </c>
      <c r="B421" s="2" t="n">
        <v>1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71.2</v>
      </c>
      <c r="K421" s="2" t="s">
        <v>15</v>
      </c>
      <c r="L421" s="2" t="s">
        <v>16</v>
      </c>
      <c r="M421" s="2" t="s">
        <v>22</v>
      </c>
      <c r="N421" s="2" t="n">
        <v>0</v>
      </c>
    </row>
    <row r="422" customFormat="false" ht="15" hidden="false" customHeight="false" outlineLevel="0" collapsed="false">
      <c r="A422" s="2" t="s">
        <v>14</v>
      </c>
      <c r="B422" s="2" t="n">
        <v>1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39.1</v>
      </c>
      <c r="K422" s="2" t="s">
        <v>23</v>
      </c>
      <c r="L422" s="2" t="s">
        <v>19</v>
      </c>
      <c r="M422" s="2" t="s">
        <v>20</v>
      </c>
      <c r="N422" s="2" t="n">
        <v>0</v>
      </c>
    </row>
    <row r="423" customFormat="false" ht="15" hidden="false" customHeight="false" outlineLevel="0" collapsed="false">
      <c r="A423" s="2" t="s">
        <v>14</v>
      </c>
      <c r="B423" s="2" t="n">
        <v>1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42.6</v>
      </c>
      <c r="K423" s="2" t="s">
        <v>21</v>
      </c>
      <c r="L423" s="2" t="s">
        <v>16</v>
      </c>
      <c r="M423" s="2" t="s">
        <v>20</v>
      </c>
      <c r="N423" s="2" t="n">
        <v>0</v>
      </c>
    </row>
    <row r="424" customFormat="false" ht="15" hidden="false" customHeight="false" outlineLevel="0" collapsed="false">
      <c r="A424" s="2" t="s">
        <v>14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74.4</v>
      </c>
      <c r="K424" s="2" t="s">
        <v>23</v>
      </c>
      <c r="L424" s="2" t="s">
        <v>24</v>
      </c>
      <c r="M424" s="2" t="s">
        <v>20</v>
      </c>
      <c r="N424" s="2" t="n">
        <v>0</v>
      </c>
    </row>
    <row r="425" customFormat="false" ht="15" hidden="false" customHeight="false" outlineLevel="0" collapsed="false">
      <c r="A425" s="2" t="s">
        <v>14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55.6</v>
      </c>
      <c r="K425" s="2" t="s">
        <v>18</v>
      </c>
      <c r="L425" s="2" t="s">
        <v>19</v>
      </c>
      <c r="M425" s="2" t="s">
        <v>20</v>
      </c>
      <c r="N425" s="2" t="n">
        <v>0</v>
      </c>
    </row>
    <row r="426" customFormat="false" ht="15" hidden="false" customHeight="false" outlineLevel="0" collapsed="false">
      <c r="A426" s="2" t="s">
        <v>14</v>
      </c>
      <c r="B426" s="2" t="n">
        <v>1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35.8</v>
      </c>
      <c r="K426" s="2" t="s">
        <v>18</v>
      </c>
      <c r="L426" s="2" t="s">
        <v>19</v>
      </c>
      <c r="M426" s="2" t="s">
        <v>20</v>
      </c>
      <c r="N426" s="2" t="n">
        <v>0</v>
      </c>
    </row>
    <row r="427" customFormat="false" ht="15" hidden="false" customHeight="false" outlineLevel="0" collapsed="false">
      <c r="A427" s="2" t="s">
        <v>14</v>
      </c>
      <c r="B427" s="2" t="n">
        <v>1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1</v>
      </c>
      <c r="H427" s="2" t="n">
        <v>0</v>
      </c>
      <c r="I427" s="2" t="n">
        <v>28.2</v>
      </c>
      <c r="K427" s="2" t="s">
        <v>15</v>
      </c>
      <c r="L427" s="2" t="s">
        <v>19</v>
      </c>
      <c r="M427" s="2" t="s">
        <v>17</v>
      </c>
      <c r="N427" s="2" t="n">
        <v>1</v>
      </c>
    </row>
    <row r="428" customFormat="false" ht="15" hidden="false" customHeight="false" outlineLevel="0" collapsed="false">
      <c r="A428" s="2" t="s">
        <v>14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1</v>
      </c>
      <c r="H428" s="2" t="n">
        <v>0</v>
      </c>
      <c r="I428" s="2" t="n">
        <v>44.4</v>
      </c>
      <c r="K428" s="2" t="s">
        <v>21</v>
      </c>
      <c r="L428" s="2" t="s">
        <v>19</v>
      </c>
      <c r="M428" s="2" t="s">
        <v>20</v>
      </c>
      <c r="N428" s="2" t="n">
        <v>2</v>
      </c>
    </row>
    <row r="429" customFormat="false" ht="15" hidden="false" customHeight="false" outlineLevel="0" collapsed="false">
      <c r="A429" s="2" t="s">
        <v>14</v>
      </c>
      <c r="B429" s="2" t="n">
        <v>1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49.9</v>
      </c>
      <c r="K429" s="2" t="s">
        <v>15</v>
      </c>
      <c r="L429" s="2" t="s">
        <v>19</v>
      </c>
      <c r="M429" s="2" t="s">
        <v>22</v>
      </c>
      <c r="N429" s="2" t="n">
        <v>0</v>
      </c>
    </row>
    <row r="430" customFormat="false" ht="15" hidden="false" customHeight="false" outlineLevel="0" collapsed="false">
      <c r="A430" s="2" t="s">
        <v>14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40.4</v>
      </c>
      <c r="K430" s="2" t="s">
        <v>23</v>
      </c>
      <c r="L430" s="2" t="s">
        <v>16</v>
      </c>
      <c r="M430" s="2" t="s">
        <v>20</v>
      </c>
      <c r="N430" s="2" t="n">
        <v>0</v>
      </c>
    </row>
    <row r="431" customFormat="false" ht="15" hidden="false" customHeight="false" outlineLevel="0" collapsed="false">
      <c r="A431" s="2" t="s">
        <v>14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60.4</v>
      </c>
      <c r="K431" s="2" t="s">
        <v>18</v>
      </c>
      <c r="L431" s="2" t="s">
        <v>19</v>
      </c>
      <c r="M431" s="2" t="s">
        <v>20</v>
      </c>
      <c r="N431" s="2" t="n">
        <v>0</v>
      </c>
    </row>
    <row r="432" customFormat="false" ht="15" hidden="false" customHeight="false" outlineLevel="0" collapsed="false">
      <c r="A432" s="2" t="s">
        <v>14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1</v>
      </c>
      <c r="H432" s="2" t="n">
        <v>0</v>
      </c>
      <c r="I432" s="2" t="n">
        <v>52.4</v>
      </c>
      <c r="K432" s="2" t="s">
        <v>18</v>
      </c>
      <c r="L432" s="2" t="s">
        <v>19</v>
      </c>
      <c r="M432" s="2" t="s">
        <v>22</v>
      </c>
      <c r="N432" s="2" t="n">
        <v>1</v>
      </c>
    </row>
    <row r="433" customFormat="false" ht="15" hidden="false" customHeight="false" outlineLevel="0" collapsed="false">
      <c r="A433" s="2" t="s">
        <v>14</v>
      </c>
      <c r="B433" s="2" t="n">
        <v>1</v>
      </c>
      <c r="C433" s="2" t="n">
        <v>1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48.8</v>
      </c>
      <c r="K433" s="2" t="s">
        <v>23</v>
      </c>
      <c r="L433" s="2" t="s">
        <v>19</v>
      </c>
      <c r="M433" s="2" t="s">
        <v>17</v>
      </c>
      <c r="N433" s="2" t="n">
        <v>0</v>
      </c>
    </row>
    <row r="434" customFormat="false" ht="15" hidden="false" customHeight="false" outlineLevel="0" collapsed="false">
      <c r="A434" s="2" t="s">
        <v>14</v>
      </c>
      <c r="B434" s="2" t="n">
        <v>1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60.9</v>
      </c>
      <c r="K434" s="2" t="s">
        <v>15</v>
      </c>
      <c r="L434" s="2" t="s">
        <v>24</v>
      </c>
      <c r="M434" s="2" t="s">
        <v>17</v>
      </c>
      <c r="N434" s="2" t="n">
        <v>0</v>
      </c>
    </row>
    <row r="435" customFormat="false" ht="15" hidden="false" customHeight="false" outlineLevel="0" collapsed="false">
      <c r="A435" s="2" t="s">
        <v>14</v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68.2</v>
      </c>
      <c r="K435" s="2" t="s">
        <v>23</v>
      </c>
      <c r="L435" s="2" t="s">
        <v>16</v>
      </c>
      <c r="M435" s="2" t="s">
        <v>17</v>
      </c>
      <c r="N435" s="2" t="n">
        <v>0</v>
      </c>
    </row>
    <row r="436" customFormat="false" ht="15" hidden="false" customHeight="false" outlineLevel="0" collapsed="false">
      <c r="A436" s="2" t="s">
        <v>14</v>
      </c>
      <c r="B436" s="2" t="n">
        <v>1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65.6</v>
      </c>
      <c r="K436" s="2" t="s">
        <v>15</v>
      </c>
      <c r="L436" s="2" t="s">
        <v>16</v>
      </c>
      <c r="M436" s="2" t="s">
        <v>17</v>
      </c>
      <c r="N436" s="2" t="n">
        <v>0</v>
      </c>
    </row>
    <row r="437" customFormat="false" ht="15" hidden="false" customHeight="false" outlineLevel="0" collapsed="false">
      <c r="A437" s="2" t="s">
        <v>14</v>
      </c>
      <c r="B437" s="2" t="n">
        <v>1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65.4</v>
      </c>
      <c r="K437" s="2" t="s">
        <v>15</v>
      </c>
      <c r="L437" s="2" t="s">
        <v>16</v>
      </c>
      <c r="M437" s="2" t="s">
        <v>17</v>
      </c>
      <c r="N437" s="2" t="n">
        <v>0</v>
      </c>
    </row>
    <row r="438" customFormat="false" ht="15" hidden="false" customHeight="false" outlineLevel="0" collapsed="false">
      <c r="A438" s="2" t="s">
        <v>14</v>
      </c>
      <c r="B438" s="2" t="n">
        <v>1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78.9</v>
      </c>
      <c r="K438" s="2" t="s">
        <v>18</v>
      </c>
      <c r="L438" s="2" t="s">
        <v>19</v>
      </c>
      <c r="M438" s="2" t="s">
        <v>17</v>
      </c>
      <c r="N438" s="2" t="n">
        <v>0</v>
      </c>
    </row>
    <row r="439" customFormat="false" ht="15" hidden="false" customHeight="false" outlineLevel="0" collapsed="false">
      <c r="A439" s="2" t="s">
        <v>14</v>
      </c>
      <c r="B439" s="2" t="n">
        <v>1</v>
      </c>
      <c r="C439" s="2" t="n">
        <v>1</v>
      </c>
      <c r="D439" s="2" t="n">
        <v>1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78.3</v>
      </c>
      <c r="K439" s="2" t="s">
        <v>21</v>
      </c>
      <c r="L439" s="2" t="s">
        <v>19</v>
      </c>
      <c r="M439" s="2" t="s">
        <v>17</v>
      </c>
      <c r="N439" s="2" t="n">
        <v>0</v>
      </c>
    </row>
    <row r="440" customFormat="false" ht="15" hidden="false" customHeight="false" outlineLevel="0" collapsed="false">
      <c r="A440" s="2" t="s">
        <v>14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49.2</v>
      </c>
      <c r="K440" s="2" t="s">
        <v>18</v>
      </c>
      <c r="L440" s="2" t="s">
        <v>16</v>
      </c>
      <c r="M440" s="2" t="s">
        <v>17</v>
      </c>
      <c r="N440" s="2" t="n">
        <v>0</v>
      </c>
    </row>
    <row r="441" customFormat="false" ht="15" hidden="false" customHeight="false" outlineLevel="0" collapsed="false">
      <c r="A441" s="2" t="s">
        <v>14</v>
      </c>
      <c r="B441" s="2" t="n">
        <v>1</v>
      </c>
      <c r="C441" s="2" t="n">
        <v>1</v>
      </c>
      <c r="D441" s="2" t="n">
        <v>1</v>
      </c>
      <c r="E441" s="2" t="n">
        <v>1</v>
      </c>
      <c r="F441" s="2" t="n">
        <v>1518.83</v>
      </c>
      <c r="G441" s="2" t="n">
        <v>0</v>
      </c>
      <c r="H441" s="2" t="n">
        <v>0</v>
      </c>
      <c r="I441" s="2" t="n">
        <v>32.2</v>
      </c>
      <c r="J441" s="2" t="n">
        <v>9</v>
      </c>
      <c r="K441" s="2" t="s">
        <v>21</v>
      </c>
      <c r="L441" s="2" t="s">
        <v>19</v>
      </c>
      <c r="M441" s="2" t="s">
        <v>22</v>
      </c>
      <c r="N441" s="2" t="n">
        <v>0</v>
      </c>
    </row>
    <row r="442" customFormat="false" ht="15" hidden="false" customHeight="false" outlineLevel="0" collapsed="false">
      <c r="A442" s="2" t="s">
        <v>14</v>
      </c>
      <c r="B442" s="2" t="n">
        <v>1</v>
      </c>
      <c r="C442" s="2" t="n">
        <v>1</v>
      </c>
      <c r="D442" s="2" t="n">
        <v>1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46.3</v>
      </c>
      <c r="K442" s="2" t="s">
        <v>15</v>
      </c>
      <c r="L442" s="2" t="s">
        <v>19</v>
      </c>
      <c r="M442" s="2" t="s">
        <v>17</v>
      </c>
      <c r="N442" s="2" t="n">
        <v>0</v>
      </c>
    </row>
    <row r="443" customFormat="false" ht="15" hidden="false" customHeight="false" outlineLevel="0" collapsed="false">
      <c r="A443" s="2" t="s">
        <v>14</v>
      </c>
      <c r="B443" s="2" t="n">
        <v>1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55.7</v>
      </c>
      <c r="K443" s="2" t="s">
        <v>21</v>
      </c>
      <c r="L443" s="2" t="s">
        <v>19</v>
      </c>
      <c r="M443" s="2" t="s">
        <v>17</v>
      </c>
      <c r="N443" s="2" t="n">
        <v>0</v>
      </c>
    </row>
    <row r="444" customFormat="false" ht="15" hidden="false" customHeight="false" outlineLevel="0" collapsed="false">
      <c r="A444" s="2" t="s">
        <v>14</v>
      </c>
      <c r="B444" s="2" t="n">
        <v>1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44.5</v>
      </c>
      <c r="K444" s="2" t="s">
        <v>23</v>
      </c>
      <c r="L444" s="2" t="s">
        <v>19</v>
      </c>
      <c r="M444" s="2" t="s">
        <v>20</v>
      </c>
      <c r="N444" s="2" t="n">
        <v>0</v>
      </c>
    </row>
    <row r="445" customFormat="false" ht="15" hidden="false" customHeight="false" outlineLevel="0" collapsed="false">
      <c r="A445" s="2" t="s">
        <v>14</v>
      </c>
      <c r="B445" s="2" t="n">
        <v>1</v>
      </c>
      <c r="C445" s="2" t="n">
        <v>1</v>
      </c>
      <c r="D445" s="2" t="n">
        <v>1</v>
      </c>
      <c r="E445" s="2" t="n">
        <v>0</v>
      </c>
      <c r="F445" s="2" t="n">
        <v>0</v>
      </c>
      <c r="G445" s="2" t="n">
        <v>1</v>
      </c>
      <c r="H445" s="2" t="n">
        <v>0</v>
      </c>
      <c r="I445" s="2" t="n">
        <v>47.9</v>
      </c>
      <c r="K445" s="2" t="s">
        <v>18</v>
      </c>
      <c r="L445" s="2" t="s">
        <v>16</v>
      </c>
      <c r="M445" s="2" t="s">
        <v>20</v>
      </c>
      <c r="N445" s="2" t="n">
        <v>1</v>
      </c>
    </row>
    <row r="446" customFormat="false" ht="15" hidden="false" customHeight="false" outlineLevel="0" collapsed="false">
      <c r="A446" s="2" t="s">
        <v>14</v>
      </c>
      <c r="B446" s="2" t="n">
        <v>1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43.9</v>
      </c>
      <c r="K446" s="2" t="s">
        <v>23</v>
      </c>
      <c r="L446" s="2" t="s">
        <v>19</v>
      </c>
      <c r="M446" s="2" t="s">
        <v>22</v>
      </c>
      <c r="N446" s="2" t="n">
        <v>0</v>
      </c>
    </row>
    <row r="447" customFormat="false" ht="15" hidden="false" customHeight="false" outlineLevel="0" collapsed="false">
      <c r="A447" s="2" t="s">
        <v>14</v>
      </c>
      <c r="B447" s="2" t="n">
        <v>1</v>
      </c>
      <c r="C447" s="2" t="n">
        <v>1</v>
      </c>
      <c r="D447" s="2" t="n">
        <v>1</v>
      </c>
      <c r="E447" s="2" t="n">
        <v>0</v>
      </c>
      <c r="F447" s="2" t="n">
        <v>0</v>
      </c>
      <c r="G447" s="2" t="n">
        <v>1</v>
      </c>
      <c r="H447" s="2" t="n">
        <v>0</v>
      </c>
      <c r="I447" s="2" t="n">
        <v>67.7</v>
      </c>
      <c r="K447" s="2" t="s">
        <v>15</v>
      </c>
      <c r="L447" s="2" t="s">
        <v>16</v>
      </c>
      <c r="M447" s="2" t="s">
        <v>20</v>
      </c>
      <c r="N447" s="2" t="n">
        <v>1</v>
      </c>
    </row>
    <row r="448" customFormat="false" ht="15" hidden="false" customHeight="false" outlineLevel="0" collapsed="false">
      <c r="A448" s="2" t="s">
        <v>14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43.7</v>
      </c>
      <c r="K448" s="2" t="s">
        <v>21</v>
      </c>
      <c r="L448" s="2" t="s">
        <v>19</v>
      </c>
      <c r="M448" s="2" t="s">
        <v>17</v>
      </c>
      <c r="N448" s="2" t="n">
        <v>0</v>
      </c>
    </row>
    <row r="449" customFormat="false" ht="15" hidden="false" customHeight="false" outlineLevel="0" collapsed="false">
      <c r="A449" s="2" t="s">
        <v>14</v>
      </c>
      <c r="B449" s="2" t="n">
        <v>1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68.8</v>
      </c>
      <c r="K449" s="2" t="s">
        <v>21</v>
      </c>
      <c r="L449" s="2" t="s">
        <v>19</v>
      </c>
      <c r="M449" s="2" t="s">
        <v>20</v>
      </c>
      <c r="N449" s="2" t="n">
        <v>0</v>
      </c>
    </row>
    <row r="450" customFormat="false" ht="15" hidden="false" customHeight="false" outlineLevel="0" collapsed="false">
      <c r="A450" s="2" t="s">
        <v>14</v>
      </c>
      <c r="B450" s="2" t="n">
        <v>1</v>
      </c>
      <c r="C450" s="2" t="n">
        <v>1</v>
      </c>
      <c r="D450" s="2" t="n">
        <v>1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59.2</v>
      </c>
      <c r="K450" s="2" t="s">
        <v>18</v>
      </c>
      <c r="L450" s="2" t="s">
        <v>19</v>
      </c>
      <c r="M450" s="2" t="s">
        <v>20</v>
      </c>
      <c r="N450" s="2" t="n">
        <v>0</v>
      </c>
    </row>
    <row r="451" customFormat="false" ht="15" hidden="false" customHeight="false" outlineLevel="0" collapsed="false">
      <c r="A451" s="2" t="s">
        <v>14</v>
      </c>
      <c r="B451" s="2" t="n">
        <v>1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48.6</v>
      </c>
      <c r="K451" s="2" t="s">
        <v>21</v>
      </c>
      <c r="L451" s="2" t="s">
        <v>19</v>
      </c>
      <c r="M451" s="2" t="s">
        <v>20</v>
      </c>
      <c r="N451" s="2" t="n">
        <v>0</v>
      </c>
    </row>
    <row r="452" customFormat="false" ht="15" hidden="false" customHeight="false" outlineLevel="0" collapsed="false">
      <c r="A452" s="2" t="s">
        <v>14</v>
      </c>
      <c r="B452" s="2" t="n">
        <v>1</v>
      </c>
      <c r="C452" s="2" t="n">
        <v>1</v>
      </c>
      <c r="D452" s="2" t="n">
        <v>1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56.9</v>
      </c>
      <c r="K452" s="2" t="s">
        <v>15</v>
      </c>
      <c r="L452" s="2" t="s">
        <v>24</v>
      </c>
      <c r="M452" s="2" t="s">
        <v>20</v>
      </c>
      <c r="N452" s="2" t="n">
        <v>0</v>
      </c>
    </row>
    <row r="453" customFormat="false" ht="15" hidden="false" customHeight="false" outlineLevel="0" collapsed="false">
      <c r="A453" s="2" t="s">
        <v>14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55.8</v>
      </c>
      <c r="K453" s="2" t="s">
        <v>15</v>
      </c>
      <c r="L453" s="2" t="s">
        <v>16</v>
      </c>
      <c r="M453" s="2" t="s">
        <v>20</v>
      </c>
      <c r="N453" s="2" t="n">
        <v>0</v>
      </c>
    </row>
    <row r="454" customFormat="false" ht="15" hidden="false" customHeight="false" outlineLevel="0" collapsed="false">
      <c r="A454" s="2" t="s">
        <v>14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63.3</v>
      </c>
      <c r="K454" s="2" t="s">
        <v>21</v>
      </c>
      <c r="L454" s="2" t="s">
        <v>19</v>
      </c>
      <c r="M454" s="2" t="s">
        <v>22</v>
      </c>
      <c r="N454" s="2" t="n">
        <v>0</v>
      </c>
    </row>
    <row r="455" customFormat="false" ht="15" hidden="false" customHeight="false" outlineLevel="0" collapsed="false">
      <c r="A455" s="2" t="s">
        <v>14</v>
      </c>
      <c r="B455" s="2" t="n">
        <v>1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52.2</v>
      </c>
      <c r="K455" s="2" t="s">
        <v>15</v>
      </c>
      <c r="L455" s="2" t="s">
        <v>19</v>
      </c>
      <c r="M455" s="2" t="s">
        <v>20</v>
      </c>
      <c r="N455" s="2" t="n">
        <v>0</v>
      </c>
    </row>
    <row r="456" customFormat="false" ht="15" hidden="false" customHeight="false" outlineLevel="0" collapsed="false">
      <c r="A456" s="2" t="s">
        <v>14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51.5</v>
      </c>
      <c r="K456" s="2" t="s">
        <v>23</v>
      </c>
      <c r="L456" s="2" t="s">
        <v>24</v>
      </c>
      <c r="M456" s="2" t="s">
        <v>20</v>
      </c>
      <c r="N456" s="2" t="n">
        <v>0</v>
      </c>
    </row>
    <row r="457" customFormat="false" ht="15" hidden="false" customHeight="false" outlineLevel="0" collapsed="false">
      <c r="A457" s="2" t="s">
        <v>14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50.3</v>
      </c>
      <c r="K457" s="2" t="s">
        <v>21</v>
      </c>
      <c r="L457" s="2" t="s">
        <v>16</v>
      </c>
      <c r="M457" s="2" t="s">
        <v>20</v>
      </c>
      <c r="N457" s="2" t="n">
        <v>0</v>
      </c>
    </row>
    <row r="458" customFormat="false" ht="15" hidden="false" customHeight="false" outlineLevel="0" collapsed="false">
      <c r="A458" s="2" t="s">
        <v>14</v>
      </c>
      <c r="B458" s="2" t="n">
        <v>1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1</v>
      </c>
      <c r="H458" s="2" t="n">
        <v>0</v>
      </c>
      <c r="I458" s="2" t="n">
        <v>35.4</v>
      </c>
      <c r="K458" s="2" t="s">
        <v>15</v>
      </c>
      <c r="L458" s="2" t="s">
        <v>19</v>
      </c>
      <c r="M458" s="2" t="s">
        <v>17</v>
      </c>
      <c r="N458" s="2" t="n">
        <v>1</v>
      </c>
    </row>
    <row r="459" customFormat="false" ht="15" hidden="false" customHeight="false" outlineLevel="0" collapsed="false">
      <c r="A459" s="2" t="s">
        <v>14</v>
      </c>
      <c r="B459" s="2" t="n">
        <v>1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1</v>
      </c>
      <c r="H459" s="2" t="n">
        <v>0</v>
      </c>
      <c r="I459" s="2" t="n">
        <v>54.1</v>
      </c>
      <c r="K459" s="2" t="s">
        <v>18</v>
      </c>
      <c r="L459" s="2" t="s">
        <v>16</v>
      </c>
      <c r="M459" s="2" t="s">
        <v>22</v>
      </c>
      <c r="N459" s="2" t="n">
        <v>1</v>
      </c>
    </row>
    <row r="460" customFormat="false" ht="15" hidden="false" customHeight="false" outlineLevel="0" collapsed="false">
      <c r="A460" s="2" t="s">
        <v>14</v>
      </c>
      <c r="B460" s="2" t="n">
        <v>1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56.2</v>
      </c>
      <c r="K460" s="2" t="s">
        <v>23</v>
      </c>
      <c r="L460" s="2" t="s">
        <v>19</v>
      </c>
      <c r="M460" s="2" t="s">
        <v>22</v>
      </c>
      <c r="N460" s="2" t="n">
        <v>0</v>
      </c>
    </row>
    <row r="461" customFormat="false" ht="15" hidden="false" customHeight="false" outlineLevel="0" collapsed="false">
      <c r="A461" s="2" t="s">
        <v>14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1</v>
      </c>
      <c r="H461" s="2" t="n">
        <v>0</v>
      </c>
      <c r="I461" s="2" t="n">
        <v>43.7</v>
      </c>
      <c r="K461" s="2" t="s">
        <v>23</v>
      </c>
      <c r="L461" s="2" t="s">
        <v>19</v>
      </c>
      <c r="M461" s="2" t="s">
        <v>20</v>
      </c>
      <c r="N461" s="2" t="n">
        <v>3</v>
      </c>
    </row>
    <row r="462" customFormat="false" ht="15" hidden="false" customHeight="false" outlineLevel="0" collapsed="false">
      <c r="A462" s="2" t="s">
        <v>14</v>
      </c>
      <c r="B462" s="2" t="n">
        <v>1</v>
      </c>
      <c r="C462" s="2" t="n">
        <v>1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51.3</v>
      </c>
      <c r="K462" s="2" t="s">
        <v>18</v>
      </c>
      <c r="L462" s="2" t="s">
        <v>16</v>
      </c>
      <c r="M462" s="2" t="s">
        <v>22</v>
      </c>
      <c r="N462" s="2" t="n">
        <v>0</v>
      </c>
    </row>
    <row r="463" customFormat="false" ht="15" hidden="false" customHeight="false" outlineLevel="0" collapsed="false">
      <c r="A463" s="2" t="s">
        <v>14</v>
      </c>
      <c r="B463" s="2" t="n">
        <v>1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50.5</v>
      </c>
      <c r="K463" s="2" t="s">
        <v>15</v>
      </c>
      <c r="L463" s="2" t="s">
        <v>25</v>
      </c>
      <c r="M463" s="2" t="s">
        <v>17</v>
      </c>
      <c r="N463" s="2" t="n">
        <v>0</v>
      </c>
    </row>
    <row r="464" customFormat="false" ht="15" hidden="false" customHeight="false" outlineLevel="0" collapsed="false">
      <c r="A464" s="2" t="s">
        <v>14</v>
      </c>
      <c r="B464" s="2" t="n">
        <v>1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57.3</v>
      </c>
      <c r="K464" s="2" t="s">
        <v>15</v>
      </c>
      <c r="L464" s="2" t="s">
        <v>19</v>
      </c>
      <c r="M464" s="2" t="s">
        <v>17</v>
      </c>
      <c r="N464" s="2" t="n">
        <v>0</v>
      </c>
    </row>
    <row r="465" customFormat="false" ht="15" hidden="false" customHeight="false" outlineLevel="0" collapsed="false">
      <c r="A465" s="2" t="s">
        <v>14</v>
      </c>
      <c r="B465" s="2" t="n">
        <v>1</v>
      </c>
      <c r="C465" s="2" t="n">
        <v>1</v>
      </c>
      <c r="D465" s="2" t="n">
        <v>1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58.4</v>
      </c>
      <c r="K465" s="2" t="s">
        <v>18</v>
      </c>
      <c r="L465" s="2" t="s">
        <v>16</v>
      </c>
      <c r="M465" s="2" t="s">
        <v>20</v>
      </c>
      <c r="N465" s="2" t="n">
        <v>0</v>
      </c>
    </row>
    <row r="466" customFormat="false" ht="15" hidden="false" customHeight="false" outlineLevel="0" collapsed="false">
      <c r="A466" s="2" t="s">
        <v>14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56.5</v>
      </c>
      <c r="K466" s="2" t="s">
        <v>15</v>
      </c>
      <c r="L466" s="2" t="s">
        <v>19</v>
      </c>
      <c r="M466" s="2" t="s">
        <v>20</v>
      </c>
      <c r="N466" s="2" t="n">
        <v>0</v>
      </c>
    </row>
    <row r="467" customFormat="false" ht="15" hidden="false" customHeight="false" outlineLevel="0" collapsed="false">
      <c r="A467" s="2" t="s">
        <v>14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69.6</v>
      </c>
      <c r="K467" s="2" t="s">
        <v>18</v>
      </c>
      <c r="L467" s="2" t="s">
        <v>19</v>
      </c>
      <c r="M467" s="2" t="s">
        <v>20</v>
      </c>
      <c r="N467" s="2" t="n">
        <v>0</v>
      </c>
    </row>
    <row r="468" customFormat="false" ht="15" hidden="false" customHeight="false" outlineLevel="0" collapsed="false">
      <c r="A468" s="2" t="s">
        <v>14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6.2</v>
      </c>
      <c r="K468" s="2" t="s">
        <v>18</v>
      </c>
      <c r="L468" s="2" t="s">
        <v>19</v>
      </c>
      <c r="M468" s="2" t="s">
        <v>17</v>
      </c>
      <c r="N468" s="2" t="n">
        <v>0</v>
      </c>
    </row>
    <row r="469" customFormat="false" ht="15" hidden="false" customHeight="false" outlineLevel="0" collapsed="false">
      <c r="A469" s="2" t="s">
        <v>14</v>
      </c>
      <c r="B469" s="2" t="n">
        <v>1</v>
      </c>
      <c r="C469" s="2" t="n">
        <v>1</v>
      </c>
      <c r="D469" s="2" t="n">
        <v>1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54.3</v>
      </c>
      <c r="K469" s="2" t="s">
        <v>21</v>
      </c>
      <c r="L469" s="2" t="s">
        <v>16</v>
      </c>
      <c r="M469" s="2" t="s">
        <v>20</v>
      </c>
      <c r="N469" s="2" t="n">
        <v>0</v>
      </c>
    </row>
    <row r="470" customFormat="false" ht="15" hidden="false" customHeight="false" outlineLevel="0" collapsed="false">
      <c r="A470" s="2" t="s">
        <v>14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59.8</v>
      </c>
      <c r="K470" s="2" t="s">
        <v>15</v>
      </c>
      <c r="L470" s="2" t="s">
        <v>19</v>
      </c>
      <c r="M470" s="2" t="s">
        <v>17</v>
      </c>
      <c r="N470" s="2" t="n">
        <v>0</v>
      </c>
    </row>
    <row r="471" customFormat="false" ht="15" hidden="false" customHeight="false" outlineLevel="0" collapsed="false">
      <c r="A471" s="2" t="s">
        <v>14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58.9</v>
      </c>
      <c r="K471" s="2" t="s">
        <v>18</v>
      </c>
      <c r="L471" s="2" t="s">
        <v>19</v>
      </c>
      <c r="M471" s="2" t="s">
        <v>20</v>
      </c>
      <c r="N471" s="2" t="n">
        <v>0</v>
      </c>
    </row>
    <row r="472" customFormat="false" ht="15" hidden="false" customHeight="false" outlineLevel="0" collapsed="false">
      <c r="A472" s="2" t="s">
        <v>14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1</v>
      </c>
      <c r="H472" s="2" t="n">
        <v>0</v>
      </c>
      <c r="I472" s="2" t="n">
        <v>52.9</v>
      </c>
      <c r="K472" s="2" t="s">
        <v>21</v>
      </c>
      <c r="L472" s="2" t="s">
        <v>16</v>
      </c>
      <c r="M472" s="2" t="s">
        <v>20</v>
      </c>
      <c r="N472" s="2" t="n">
        <v>1</v>
      </c>
    </row>
    <row r="473" customFormat="false" ht="15" hidden="false" customHeight="false" outlineLevel="0" collapsed="false">
      <c r="A473" s="2" t="s">
        <v>14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67.8</v>
      </c>
      <c r="K473" s="2" t="s">
        <v>18</v>
      </c>
      <c r="L473" s="2" t="s">
        <v>19</v>
      </c>
      <c r="M473" s="2" t="s">
        <v>20</v>
      </c>
      <c r="N473" s="2" t="n">
        <v>0</v>
      </c>
    </row>
    <row r="474" customFormat="false" ht="15" hidden="false" customHeight="false" outlineLevel="0" collapsed="false">
      <c r="A474" s="2" t="s">
        <v>14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48.7</v>
      </c>
      <c r="K474" s="2" t="s">
        <v>23</v>
      </c>
      <c r="L474" s="2" t="s">
        <v>19</v>
      </c>
      <c r="M474" s="2" t="s">
        <v>20</v>
      </c>
      <c r="N474" s="2" t="n">
        <v>0</v>
      </c>
    </row>
    <row r="475" customFormat="false" ht="15" hidden="false" customHeight="false" outlineLevel="0" collapsed="false">
      <c r="A475" s="2" t="s">
        <v>14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59</v>
      </c>
      <c r="K475" s="2" t="s">
        <v>21</v>
      </c>
      <c r="L475" s="2" t="s">
        <v>19</v>
      </c>
      <c r="M475" s="2" t="s">
        <v>17</v>
      </c>
      <c r="N475" s="2" t="n">
        <v>0</v>
      </c>
    </row>
    <row r="476" customFormat="false" ht="15" hidden="false" customHeight="false" outlineLevel="0" collapsed="false">
      <c r="A476" s="2" t="s">
        <v>14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63.2</v>
      </c>
      <c r="K476" s="2" t="s">
        <v>23</v>
      </c>
      <c r="L476" s="2" t="s">
        <v>19</v>
      </c>
      <c r="M476" s="2" t="s">
        <v>20</v>
      </c>
      <c r="N476" s="2" t="n">
        <v>0</v>
      </c>
    </row>
    <row r="477" customFormat="false" ht="15" hidden="false" customHeight="false" outlineLevel="0" collapsed="false">
      <c r="A477" s="2" t="s">
        <v>14</v>
      </c>
      <c r="B477" s="2" t="n">
        <v>1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68.7</v>
      </c>
      <c r="K477" s="2" t="s">
        <v>18</v>
      </c>
      <c r="L477" s="2" t="s">
        <v>19</v>
      </c>
      <c r="M477" s="2" t="s">
        <v>17</v>
      </c>
      <c r="N477" s="2" t="n">
        <v>0</v>
      </c>
    </row>
    <row r="478" customFormat="false" ht="15" hidden="false" customHeight="false" outlineLevel="0" collapsed="false">
      <c r="A478" s="2" t="s">
        <v>14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52.1</v>
      </c>
      <c r="K478" s="2" t="s">
        <v>23</v>
      </c>
      <c r="L478" s="2" t="s">
        <v>19</v>
      </c>
      <c r="M478" s="2" t="s">
        <v>20</v>
      </c>
      <c r="N478" s="2" t="n">
        <v>0</v>
      </c>
    </row>
    <row r="479" customFormat="false" ht="15" hidden="false" customHeight="false" outlineLevel="0" collapsed="false">
      <c r="A479" s="2" t="s">
        <v>14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56.5</v>
      </c>
      <c r="K479" s="2" t="s">
        <v>23</v>
      </c>
      <c r="L479" s="2" t="s">
        <v>16</v>
      </c>
      <c r="M479" s="2" t="s">
        <v>17</v>
      </c>
      <c r="N479" s="2" t="n">
        <v>0</v>
      </c>
    </row>
    <row r="480" customFormat="false" ht="15" hidden="false" customHeight="false" outlineLevel="0" collapsed="false">
      <c r="A480" s="2" t="s">
        <v>14</v>
      </c>
      <c r="B480" s="2" t="n">
        <v>1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64.4</v>
      </c>
      <c r="K480" s="2" t="s">
        <v>23</v>
      </c>
      <c r="L480" s="2" t="s">
        <v>19</v>
      </c>
      <c r="M480" s="2" t="s">
        <v>20</v>
      </c>
      <c r="N480" s="2" t="n">
        <v>0</v>
      </c>
    </row>
    <row r="481" customFormat="false" ht="15" hidden="false" customHeight="false" outlineLevel="0" collapsed="false">
      <c r="A481" s="2" t="s">
        <v>14</v>
      </c>
      <c r="B481" s="2" t="n">
        <v>1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65.9</v>
      </c>
      <c r="K481" s="2" t="s">
        <v>18</v>
      </c>
      <c r="L481" s="2" t="s">
        <v>19</v>
      </c>
      <c r="M481" s="2" t="s">
        <v>22</v>
      </c>
      <c r="N481" s="2" t="n">
        <v>0</v>
      </c>
    </row>
    <row r="482" customFormat="false" ht="15" hidden="false" customHeight="false" outlineLevel="0" collapsed="false">
      <c r="A482" s="2" t="s">
        <v>14</v>
      </c>
      <c r="B482" s="2" t="n">
        <v>1</v>
      </c>
      <c r="C482" s="2" t="n">
        <v>1</v>
      </c>
      <c r="D482" s="2" t="n">
        <v>1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100</v>
      </c>
      <c r="K482" s="2" t="s">
        <v>18</v>
      </c>
      <c r="L482" s="2" t="s">
        <v>24</v>
      </c>
      <c r="M482" s="2" t="s">
        <v>20</v>
      </c>
      <c r="N482" s="2" t="n">
        <v>0</v>
      </c>
    </row>
    <row r="483" customFormat="false" ht="15" hidden="false" customHeight="false" outlineLevel="0" collapsed="false">
      <c r="A483" s="2" t="s">
        <v>14</v>
      </c>
      <c r="B483" s="2" t="n">
        <v>1</v>
      </c>
      <c r="C483" s="2" t="n">
        <v>1</v>
      </c>
      <c r="D483" s="2" t="n">
        <v>1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50.4</v>
      </c>
      <c r="K483" s="2" t="s">
        <v>15</v>
      </c>
      <c r="L483" s="2" t="s">
        <v>25</v>
      </c>
      <c r="M483" s="2" t="s">
        <v>17</v>
      </c>
      <c r="N483" s="2" t="n">
        <v>0</v>
      </c>
    </row>
    <row r="484" customFormat="false" ht="15" hidden="false" customHeight="false" outlineLevel="0" collapsed="false">
      <c r="A484" s="2" t="s">
        <v>14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41.5</v>
      </c>
      <c r="K484" s="2" t="s">
        <v>18</v>
      </c>
      <c r="L484" s="2" t="s">
        <v>16</v>
      </c>
      <c r="M484" s="2" t="s">
        <v>17</v>
      </c>
      <c r="N484" s="2" t="n">
        <v>0</v>
      </c>
    </row>
    <row r="485" customFormat="false" ht="15" hidden="false" customHeight="false" outlineLevel="0" collapsed="false">
      <c r="A485" s="2" t="s">
        <v>14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86.2</v>
      </c>
      <c r="K485" s="2" t="s">
        <v>15</v>
      </c>
      <c r="L485" s="2" t="s">
        <v>19</v>
      </c>
      <c r="M485" s="2" t="s">
        <v>20</v>
      </c>
      <c r="N485" s="2" t="n">
        <v>0</v>
      </c>
    </row>
    <row r="486" customFormat="false" ht="15" hidden="false" customHeight="false" outlineLevel="0" collapsed="false">
      <c r="A486" s="2" t="s">
        <v>14</v>
      </c>
      <c r="B486" s="2" t="n">
        <v>1</v>
      </c>
      <c r="C486" s="2" t="n">
        <v>1</v>
      </c>
      <c r="D486" s="2" t="n">
        <v>1</v>
      </c>
      <c r="E486" s="2" t="n">
        <v>0</v>
      </c>
      <c r="F486" s="2" t="n">
        <v>0</v>
      </c>
      <c r="G486" s="2" t="n">
        <v>1</v>
      </c>
      <c r="H486" s="2" t="n">
        <v>0</v>
      </c>
      <c r="I486" s="2" t="n">
        <v>50.8</v>
      </c>
      <c r="K486" s="2" t="s">
        <v>15</v>
      </c>
      <c r="L486" s="2" t="s">
        <v>16</v>
      </c>
      <c r="M486" s="2" t="s">
        <v>20</v>
      </c>
      <c r="N486" s="2" t="n">
        <v>2</v>
      </c>
    </row>
    <row r="487" customFormat="false" ht="15" hidden="false" customHeight="false" outlineLevel="0" collapsed="false">
      <c r="A487" s="2" t="s">
        <v>14</v>
      </c>
      <c r="B487" s="2" t="n">
        <v>1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50.9</v>
      </c>
      <c r="K487" s="2" t="s">
        <v>18</v>
      </c>
      <c r="L487" s="2" t="s">
        <v>19</v>
      </c>
      <c r="M487" s="2" t="s">
        <v>20</v>
      </c>
      <c r="N487" s="2" t="n">
        <v>0</v>
      </c>
    </row>
    <row r="488" customFormat="false" ht="15" hidden="false" customHeight="false" outlineLevel="0" collapsed="false">
      <c r="A488" s="2" t="s">
        <v>14</v>
      </c>
      <c r="B488" s="2" t="n">
        <v>1</v>
      </c>
      <c r="C488" s="2" t="n">
        <v>1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87.5</v>
      </c>
      <c r="K488" s="2" t="s">
        <v>15</v>
      </c>
      <c r="L488" s="2" t="s">
        <v>19</v>
      </c>
      <c r="M488" s="2" t="s">
        <v>22</v>
      </c>
      <c r="N488" s="2" t="n">
        <v>0</v>
      </c>
    </row>
    <row r="489" customFormat="false" ht="15" hidden="false" customHeight="false" outlineLevel="0" collapsed="false">
      <c r="A489" s="2" t="s">
        <v>14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43.6</v>
      </c>
      <c r="K489" s="2" t="s">
        <v>23</v>
      </c>
      <c r="L489" s="2" t="s">
        <v>19</v>
      </c>
      <c r="M489" s="2" t="s">
        <v>20</v>
      </c>
      <c r="N489" s="2" t="n">
        <v>0</v>
      </c>
    </row>
    <row r="490" customFormat="false" ht="15" hidden="false" customHeight="false" outlineLevel="0" collapsed="false">
      <c r="A490" s="2" t="s">
        <v>14</v>
      </c>
      <c r="B490" s="2" t="n">
        <v>1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55.5</v>
      </c>
      <c r="K490" s="2" t="s">
        <v>23</v>
      </c>
      <c r="L490" s="2" t="s">
        <v>19</v>
      </c>
      <c r="M490" s="2" t="s">
        <v>17</v>
      </c>
      <c r="N490" s="2" t="n">
        <v>0</v>
      </c>
    </row>
    <row r="491" customFormat="false" ht="15" hidden="false" customHeight="false" outlineLevel="0" collapsed="false">
      <c r="A491" s="2" t="s">
        <v>14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78.6</v>
      </c>
      <c r="K491" s="2" t="s">
        <v>23</v>
      </c>
      <c r="L491" s="2" t="s">
        <v>16</v>
      </c>
      <c r="M491" s="2" t="s">
        <v>17</v>
      </c>
      <c r="N491" s="2" t="n">
        <v>0</v>
      </c>
    </row>
    <row r="492" customFormat="false" ht="15" hidden="false" customHeight="false" outlineLevel="0" collapsed="false">
      <c r="A492" s="2" t="s">
        <v>14</v>
      </c>
      <c r="B492" s="2" t="n">
        <v>1</v>
      </c>
      <c r="C492" s="2" t="n">
        <v>1</v>
      </c>
      <c r="D492" s="2" t="n">
        <v>0</v>
      </c>
      <c r="E492" s="2" t="n">
        <v>0</v>
      </c>
      <c r="F492" s="2" t="n">
        <v>0</v>
      </c>
      <c r="G492" s="2" t="n">
        <v>1</v>
      </c>
      <c r="H492" s="2" t="n">
        <v>0</v>
      </c>
      <c r="I492" s="2" t="n">
        <v>44.3</v>
      </c>
      <c r="K492" s="2" t="s">
        <v>23</v>
      </c>
      <c r="L492" s="2" t="s">
        <v>19</v>
      </c>
      <c r="M492" s="2" t="s">
        <v>17</v>
      </c>
      <c r="N492" s="2" t="n">
        <v>1</v>
      </c>
    </row>
    <row r="493" customFormat="false" ht="15" hidden="false" customHeight="false" outlineLevel="0" collapsed="false">
      <c r="A493" s="2" t="s">
        <v>14</v>
      </c>
      <c r="B493" s="2" t="n">
        <v>1</v>
      </c>
      <c r="C493" s="2" t="n">
        <v>1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45.2</v>
      </c>
      <c r="K493" s="2" t="s">
        <v>23</v>
      </c>
      <c r="L493" s="2" t="s">
        <v>19</v>
      </c>
      <c r="M493" s="2" t="s">
        <v>20</v>
      </c>
      <c r="N493" s="2" t="n">
        <v>0</v>
      </c>
    </row>
    <row r="494" customFormat="false" ht="15" hidden="false" customHeight="false" outlineLevel="0" collapsed="false">
      <c r="A494" s="2" t="s">
        <v>14</v>
      </c>
      <c r="B494" s="2" t="n">
        <v>1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1</v>
      </c>
      <c r="H494" s="2" t="n">
        <v>0</v>
      </c>
      <c r="I494" s="2" t="n">
        <v>46.1</v>
      </c>
      <c r="K494" s="2" t="s">
        <v>23</v>
      </c>
      <c r="L494" s="2" t="s">
        <v>16</v>
      </c>
      <c r="M494" s="2" t="s">
        <v>17</v>
      </c>
      <c r="N494" s="2" t="n">
        <v>2</v>
      </c>
    </row>
    <row r="495" customFormat="false" ht="15" hidden="false" customHeight="false" outlineLevel="0" collapsed="false">
      <c r="A495" s="2" t="s">
        <v>14</v>
      </c>
      <c r="B495" s="2" t="n">
        <v>1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49.6</v>
      </c>
      <c r="K495" s="2" t="s">
        <v>15</v>
      </c>
      <c r="L495" s="2" t="s">
        <v>19</v>
      </c>
      <c r="M495" s="2" t="s">
        <v>22</v>
      </c>
      <c r="N495" s="2" t="n">
        <v>0</v>
      </c>
    </row>
    <row r="496" customFormat="false" ht="15" hidden="false" customHeight="false" outlineLevel="0" collapsed="false">
      <c r="A496" s="2" t="s">
        <v>14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70.5</v>
      </c>
      <c r="K496" s="2" t="s">
        <v>23</v>
      </c>
      <c r="L496" s="2" t="s">
        <v>19</v>
      </c>
      <c r="M496" s="2" t="s">
        <v>17</v>
      </c>
      <c r="N496" s="2" t="n">
        <v>0</v>
      </c>
    </row>
    <row r="497" customFormat="false" ht="15" hidden="false" customHeight="false" outlineLevel="0" collapsed="false">
      <c r="A497" s="2" t="s">
        <v>14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1</v>
      </c>
      <c r="H497" s="2" t="n">
        <v>0</v>
      </c>
      <c r="I497" s="2" t="n">
        <v>60.8</v>
      </c>
      <c r="K497" s="2" t="s">
        <v>23</v>
      </c>
      <c r="L497" s="2" t="s">
        <v>19</v>
      </c>
      <c r="M497" s="2" t="s">
        <v>17</v>
      </c>
      <c r="N497" s="2" t="n">
        <v>1</v>
      </c>
    </row>
    <row r="498" customFormat="false" ht="15" hidden="false" customHeight="false" outlineLevel="0" collapsed="false">
      <c r="A498" s="2" t="s">
        <v>14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1</v>
      </c>
      <c r="H498" s="2" t="n">
        <v>0</v>
      </c>
      <c r="I498" s="2" t="n">
        <v>50.5</v>
      </c>
      <c r="K498" s="2" t="s">
        <v>21</v>
      </c>
      <c r="L498" s="2" t="s">
        <v>19</v>
      </c>
      <c r="M498" s="2" t="s">
        <v>17</v>
      </c>
      <c r="N498" s="2" t="n">
        <v>1</v>
      </c>
    </row>
    <row r="499" customFormat="false" ht="15" hidden="false" customHeight="false" outlineLevel="0" collapsed="false">
      <c r="A499" s="2" t="s">
        <v>14</v>
      </c>
      <c r="B499" s="2" t="n">
        <v>1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54.9</v>
      </c>
      <c r="K499" s="2" t="s">
        <v>23</v>
      </c>
      <c r="L499" s="2" t="s">
        <v>16</v>
      </c>
      <c r="M499" s="2" t="s">
        <v>20</v>
      </c>
      <c r="N499" s="2" t="n">
        <v>0</v>
      </c>
    </row>
    <row r="500" customFormat="false" ht="15" hidden="false" customHeight="false" outlineLevel="0" collapsed="false">
      <c r="A500" s="2" t="s">
        <v>14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29.9</v>
      </c>
      <c r="K500" s="2" t="s">
        <v>23</v>
      </c>
      <c r="L500" s="2" t="s">
        <v>19</v>
      </c>
      <c r="M500" s="2" t="s">
        <v>22</v>
      </c>
      <c r="N500" s="2" t="n">
        <v>0</v>
      </c>
    </row>
    <row r="501" customFormat="false" ht="15" hidden="false" customHeight="false" outlineLevel="0" collapsed="false">
      <c r="A501" s="2" t="s">
        <v>14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48.3</v>
      </c>
      <c r="K501" s="2" t="s">
        <v>21</v>
      </c>
      <c r="L501" s="2" t="s">
        <v>16</v>
      </c>
      <c r="M501" s="2" t="s">
        <v>17</v>
      </c>
      <c r="N501" s="2" t="n">
        <v>0</v>
      </c>
    </row>
    <row r="502" customFormat="false" ht="15" hidden="false" customHeight="false" outlineLevel="0" collapsed="false">
      <c r="A502" s="2" t="s">
        <v>14</v>
      </c>
      <c r="B502" s="2" t="n">
        <v>1</v>
      </c>
      <c r="C502" s="2" t="n">
        <v>1</v>
      </c>
      <c r="D502" s="2" t="n">
        <v>1</v>
      </c>
      <c r="E502" s="2" t="n">
        <v>1</v>
      </c>
      <c r="F502" s="2" t="n">
        <v>513.61</v>
      </c>
      <c r="G502" s="2" t="n">
        <v>0</v>
      </c>
      <c r="H502" s="2" t="n">
        <v>0</v>
      </c>
      <c r="I502" s="2" t="n">
        <v>41.3</v>
      </c>
      <c r="J502" s="2" t="n">
        <v>7</v>
      </c>
      <c r="K502" s="2" t="s">
        <v>18</v>
      </c>
      <c r="L502" s="2" t="s">
        <v>19</v>
      </c>
      <c r="M502" s="2" t="s">
        <v>20</v>
      </c>
      <c r="N502" s="2" t="n">
        <v>0</v>
      </c>
    </row>
    <row r="503" customFormat="false" ht="15" hidden="false" customHeight="false" outlineLevel="0" collapsed="false">
      <c r="A503" s="2" t="s">
        <v>14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61.4</v>
      </c>
      <c r="K503" s="2" t="s">
        <v>15</v>
      </c>
      <c r="L503" s="2" t="s">
        <v>19</v>
      </c>
      <c r="M503" s="2" t="s">
        <v>20</v>
      </c>
      <c r="N503" s="2" t="n">
        <v>0</v>
      </c>
    </row>
    <row r="504" customFormat="false" ht="15" hidden="false" customHeight="false" outlineLevel="0" collapsed="false">
      <c r="A504" s="2" t="s">
        <v>14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57.8</v>
      </c>
      <c r="K504" s="2" t="s">
        <v>23</v>
      </c>
      <c r="L504" s="2" t="s">
        <v>16</v>
      </c>
      <c r="M504" s="2" t="s">
        <v>20</v>
      </c>
      <c r="N504" s="2" t="n">
        <v>0</v>
      </c>
    </row>
    <row r="505" customFormat="false" ht="15" hidden="false" customHeight="false" outlineLevel="0" collapsed="false">
      <c r="A505" s="2" t="s">
        <v>14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78.2</v>
      </c>
      <c r="K505" s="2" t="s">
        <v>15</v>
      </c>
      <c r="L505" s="2" t="s">
        <v>16</v>
      </c>
      <c r="M505" s="2" t="s">
        <v>20</v>
      </c>
      <c r="N505" s="2" t="n">
        <v>0</v>
      </c>
    </row>
    <row r="506" customFormat="false" ht="15" hidden="false" customHeight="false" outlineLevel="0" collapsed="false">
      <c r="A506" s="2" t="s">
        <v>14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63.8</v>
      </c>
      <c r="K506" s="2" t="s">
        <v>15</v>
      </c>
      <c r="L506" s="2" t="s">
        <v>19</v>
      </c>
      <c r="M506" s="2" t="s">
        <v>20</v>
      </c>
      <c r="N506" s="2" t="n">
        <v>0</v>
      </c>
    </row>
    <row r="507" customFormat="false" ht="15" hidden="false" customHeight="false" outlineLevel="0" collapsed="false">
      <c r="A507" s="2" t="s">
        <v>14</v>
      </c>
      <c r="B507" s="2" t="n">
        <v>1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56.8</v>
      </c>
      <c r="K507" s="2" t="s">
        <v>15</v>
      </c>
      <c r="L507" s="2" t="s">
        <v>16</v>
      </c>
      <c r="M507" s="2" t="s">
        <v>20</v>
      </c>
      <c r="N507" s="2" t="n">
        <v>0</v>
      </c>
    </row>
    <row r="508" customFormat="false" ht="15" hidden="false" customHeight="false" outlineLevel="0" collapsed="false">
      <c r="A508" s="2" t="s">
        <v>14</v>
      </c>
      <c r="B508" s="2" t="n">
        <v>1</v>
      </c>
      <c r="C508" s="2" t="n">
        <v>1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59.6</v>
      </c>
      <c r="K508" s="2" t="s">
        <v>23</v>
      </c>
      <c r="L508" s="2" t="s">
        <v>16</v>
      </c>
      <c r="M508" s="2" t="s">
        <v>17</v>
      </c>
      <c r="N508" s="2" t="n">
        <v>0</v>
      </c>
    </row>
    <row r="509" customFormat="false" ht="15" hidden="false" customHeight="false" outlineLevel="0" collapsed="false">
      <c r="A509" s="2" t="s">
        <v>14</v>
      </c>
      <c r="B509" s="2" t="n">
        <v>1</v>
      </c>
      <c r="C509" s="2" t="n">
        <v>1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50</v>
      </c>
      <c r="K509" s="2" t="s">
        <v>18</v>
      </c>
      <c r="L509" s="2" t="s">
        <v>19</v>
      </c>
      <c r="M509" s="2" t="s">
        <v>22</v>
      </c>
      <c r="N509" s="2" t="n">
        <v>0</v>
      </c>
    </row>
    <row r="510" customFormat="false" ht="15" hidden="false" customHeight="false" outlineLevel="0" collapsed="false">
      <c r="A510" s="2" t="s">
        <v>14</v>
      </c>
      <c r="B510" s="2" t="n">
        <v>1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35.7</v>
      </c>
      <c r="K510" s="2" t="s">
        <v>15</v>
      </c>
      <c r="L510" s="2" t="s">
        <v>24</v>
      </c>
      <c r="M510" s="2" t="s">
        <v>20</v>
      </c>
      <c r="N510" s="2" t="n">
        <v>0</v>
      </c>
    </row>
    <row r="511" customFormat="false" ht="15" hidden="false" customHeight="false" outlineLevel="0" collapsed="false">
      <c r="A511" s="2" t="s">
        <v>14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1</v>
      </c>
      <c r="H511" s="2" t="n">
        <v>0</v>
      </c>
      <c r="I511" s="2" t="n">
        <v>47.2</v>
      </c>
      <c r="K511" s="2" t="s">
        <v>23</v>
      </c>
      <c r="L511" s="2" t="s">
        <v>19</v>
      </c>
      <c r="M511" s="2" t="s">
        <v>20</v>
      </c>
      <c r="N511" s="2" t="n">
        <v>2</v>
      </c>
    </row>
    <row r="512" customFormat="false" ht="15" hidden="false" customHeight="false" outlineLevel="0" collapsed="false">
      <c r="A512" s="2" t="s">
        <v>14</v>
      </c>
      <c r="B512" s="2" t="n">
        <v>1</v>
      </c>
      <c r="C512" s="2" t="n">
        <v>1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56.9</v>
      </c>
      <c r="K512" s="2" t="s">
        <v>15</v>
      </c>
      <c r="L512" s="2" t="s">
        <v>19</v>
      </c>
      <c r="M512" s="2" t="s">
        <v>20</v>
      </c>
      <c r="N512" s="2" t="n">
        <v>0</v>
      </c>
    </row>
    <row r="513" customFormat="false" ht="15" hidden="false" customHeight="false" outlineLevel="0" collapsed="false">
      <c r="A513" s="2" t="s">
        <v>14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1</v>
      </c>
      <c r="H513" s="2" t="n">
        <v>0</v>
      </c>
      <c r="I513" s="2" t="n">
        <v>57.2</v>
      </c>
      <c r="K513" s="2" t="s">
        <v>23</v>
      </c>
      <c r="L513" s="2" t="s">
        <v>19</v>
      </c>
      <c r="M513" s="2" t="s">
        <v>20</v>
      </c>
      <c r="N513" s="2" t="n">
        <v>1</v>
      </c>
    </row>
    <row r="514" customFormat="false" ht="15" hidden="false" customHeight="false" outlineLevel="0" collapsed="false">
      <c r="A514" s="2" t="s">
        <v>14</v>
      </c>
      <c r="B514" s="2" t="n">
        <v>1</v>
      </c>
      <c r="C514" s="2" t="n">
        <v>1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31.4</v>
      </c>
      <c r="K514" s="2" t="s">
        <v>23</v>
      </c>
      <c r="L514" s="2" t="s">
        <v>19</v>
      </c>
      <c r="M514" s="2" t="s">
        <v>20</v>
      </c>
      <c r="N514" s="2" t="n">
        <v>0</v>
      </c>
    </row>
    <row r="515" customFormat="false" ht="15" hidden="false" customHeight="false" outlineLevel="0" collapsed="false">
      <c r="A515" s="2" t="s">
        <v>14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71.2</v>
      </c>
      <c r="K515" s="2" t="s">
        <v>23</v>
      </c>
      <c r="L515" s="2" t="s">
        <v>16</v>
      </c>
      <c r="M515" s="2" t="s">
        <v>20</v>
      </c>
      <c r="N515" s="2" t="n">
        <v>0</v>
      </c>
    </row>
    <row r="516" customFormat="false" ht="15" hidden="false" customHeight="false" outlineLevel="0" collapsed="false">
      <c r="A516" s="2" t="s">
        <v>14</v>
      </c>
      <c r="B516" s="2" t="n">
        <v>1</v>
      </c>
      <c r="C516" s="2" t="n">
        <v>1</v>
      </c>
      <c r="D516" s="2" t="n">
        <v>1</v>
      </c>
      <c r="E516" s="2" t="n">
        <v>0</v>
      </c>
      <c r="F516" s="2" t="n">
        <v>0</v>
      </c>
      <c r="G516" s="2" t="n">
        <v>1</v>
      </c>
      <c r="H516" s="2" t="n">
        <v>0</v>
      </c>
      <c r="I516" s="2" t="n">
        <v>38.3</v>
      </c>
      <c r="K516" s="2" t="s">
        <v>15</v>
      </c>
      <c r="L516" s="2" t="s">
        <v>19</v>
      </c>
      <c r="M516" s="2" t="s">
        <v>20</v>
      </c>
      <c r="N516" s="2" t="n">
        <v>1</v>
      </c>
    </row>
    <row r="517" customFormat="false" ht="15" hidden="false" customHeight="false" outlineLevel="0" collapsed="false">
      <c r="A517" s="2" t="s">
        <v>14</v>
      </c>
      <c r="B517" s="2" t="n">
        <v>1</v>
      </c>
      <c r="C517" s="2" t="n">
        <v>1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63.1</v>
      </c>
      <c r="K517" s="2" t="s">
        <v>15</v>
      </c>
      <c r="L517" s="2" t="s">
        <v>19</v>
      </c>
      <c r="M517" s="2" t="s">
        <v>20</v>
      </c>
      <c r="N517" s="2" t="n">
        <v>0</v>
      </c>
    </row>
    <row r="518" customFormat="false" ht="15" hidden="false" customHeight="false" outlineLevel="0" collapsed="false">
      <c r="A518" s="2" t="s">
        <v>14</v>
      </c>
      <c r="B518" s="2" t="n">
        <v>1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59.7</v>
      </c>
      <c r="K518" s="2" t="s">
        <v>21</v>
      </c>
      <c r="L518" s="2" t="s">
        <v>19</v>
      </c>
      <c r="M518" s="2" t="s">
        <v>17</v>
      </c>
      <c r="N518" s="2" t="n">
        <v>0</v>
      </c>
    </row>
    <row r="519" customFormat="false" ht="15" hidden="false" customHeight="false" outlineLevel="0" collapsed="false">
      <c r="A519" s="2" t="s">
        <v>14</v>
      </c>
      <c r="B519" s="2" t="n">
        <v>1</v>
      </c>
      <c r="C519" s="2" t="n">
        <v>1</v>
      </c>
      <c r="D519" s="2" t="n">
        <v>1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59.5</v>
      </c>
      <c r="K519" s="2" t="s">
        <v>23</v>
      </c>
      <c r="L519" s="2" t="s">
        <v>16</v>
      </c>
      <c r="M519" s="2" t="s">
        <v>22</v>
      </c>
      <c r="N519" s="2" t="n">
        <v>0</v>
      </c>
    </row>
    <row r="520" customFormat="false" ht="15" hidden="false" customHeight="false" outlineLevel="0" collapsed="false">
      <c r="A520" s="2" t="s">
        <v>14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78.8</v>
      </c>
      <c r="K520" s="2" t="s">
        <v>21</v>
      </c>
      <c r="L520" s="2" t="s">
        <v>19</v>
      </c>
      <c r="M520" s="2" t="s">
        <v>20</v>
      </c>
      <c r="N520" s="2" t="n">
        <v>0</v>
      </c>
    </row>
    <row r="521" customFormat="false" ht="15" hidden="false" customHeight="false" outlineLevel="0" collapsed="false">
      <c r="A521" s="2" t="s">
        <v>14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54</v>
      </c>
      <c r="K521" s="2" t="s">
        <v>18</v>
      </c>
      <c r="L521" s="2" t="s">
        <v>16</v>
      </c>
      <c r="M521" s="2" t="s">
        <v>20</v>
      </c>
      <c r="N521" s="2" t="n">
        <v>0</v>
      </c>
    </row>
    <row r="522" customFormat="false" ht="15" hidden="false" customHeight="false" outlineLevel="0" collapsed="false">
      <c r="A522" s="2" t="s">
        <v>14</v>
      </c>
      <c r="B522" s="2" t="n">
        <v>1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66.3</v>
      </c>
      <c r="K522" s="2" t="s">
        <v>18</v>
      </c>
      <c r="L522" s="2" t="s">
        <v>19</v>
      </c>
      <c r="M522" s="2" t="s">
        <v>20</v>
      </c>
      <c r="N522" s="2" t="n">
        <v>0</v>
      </c>
    </row>
    <row r="523" customFormat="false" ht="15" hidden="false" customHeight="false" outlineLevel="0" collapsed="false">
      <c r="A523" s="2" t="s">
        <v>14</v>
      </c>
      <c r="B523" s="2" t="n">
        <v>1</v>
      </c>
      <c r="C523" s="2" t="n">
        <v>1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54.7</v>
      </c>
      <c r="K523" s="2" t="s">
        <v>21</v>
      </c>
      <c r="L523" s="2" t="s">
        <v>24</v>
      </c>
      <c r="M523" s="2" t="s">
        <v>20</v>
      </c>
      <c r="N523" s="2" t="n">
        <v>0</v>
      </c>
    </row>
    <row r="524" customFormat="false" ht="15" hidden="false" customHeight="false" outlineLevel="0" collapsed="false">
      <c r="A524" s="2" t="s">
        <v>14</v>
      </c>
      <c r="B524" s="2" t="n">
        <v>1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76.7</v>
      </c>
      <c r="K524" s="2" t="s">
        <v>23</v>
      </c>
      <c r="L524" s="2" t="s">
        <v>19</v>
      </c>
      <c r="M524" s="2" t="s">
        <v>17</v>
      </c>
      <c r="N524" s="2" t="n">
        <v>0</v>
      </c>
    </row>
    <row r="525" customFormat="false" ht="15" hidden="false" customHeight="false" outlineLevel="0" collapsed="false">
      <c r="A525" s="2" t="s">
        <v>14</v>
      </c>
      <c r="B525" s="2" t="n">
        <v>1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1</v>
      </c>
      <c r="H525" s="2" t="n">
        <v>0</v>
      </c>
      <c r="I525" s="2" t="n">
        <v>47.4</v>
      </c>
      <c r="K525" s="2" t="s">
        <v>23</v>
      </c>
      <c r="L525" s="2" t="s">
        <v>16</v>
      </c>
      <c r="M525" s="2" t="s">
        <v>17</v>
      </c>
      <c r="N525" s="2" t="n">
        <v>2</v>
      </c>
    </row>
    <row r="526" customFormat="false" ht="15" hidden="false" customHeight="false" outlineLevel="0" collapsed="false">
      <c r="A526" s="2" t="s">
        <v>14</v>
      </c>
      <c r="B526" s="2" t="n">
        <v>1</v>
      </c>
      <c r="C526" s="2" t="n">
        <v>1</v>
      </c>
      <c r="D526" s="2" t="n">
        <v>1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81.7</v>
      </c>
      <c r="K526" s="2" t="s">
        <v>15</v>
      </c>
      <c r="L526" s="2" t="s">
        <v>19</v>
      </c>
      <c r="M526" s="2" t="s">
        <v>20</v>
      </c>
      <c r="N526" s="2" t="n">
        <v>0</v>
      </c>
    </row>
    <row r="527" customFormat="false" ht="15" hidden="false" customHeight="false" outlineLevel="0" collapsed="false">
      <c r="A527" s="2" t="s">
        <v>14</v>
      </c>
      <c r="B527" s="2" t="n">
        <v>1</v>
      </c>
      <c r="C527" s="2" t="n">
        <v>1</v>
      </c>
      <c r="D527" s="2" t="n">
        <v>1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67.5</v>
      </c>
      <c r="K527" s="2" t="s">
        <v>18</v>
      </c>
      <c r="L527" s="2" t="s">
        <v>19</v>
      </c>
      <c r="M527" s="2" t="s">
        <v>17</v>
      </c>
      <c r="N527" s="2" t="n">
        <v>0</v>
      </c>
    </row>
    <row r="528" customFormat="false" ht="15" hidden="false" customHeight="false" outlineLevel="0" collapsed="false">
      <c r="A528" s="2" t="s">
        <v>14</v>
      </c>
      <c r="B528" s="2" t="n">
        <v>1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36.8</v>
      </c>
      <c r="K528" s="2" t="s">
        <v>18</v>
      </c>
      <c r="L528" s="2" t="s">
        <v>19</v>
      </c>
      <c r="M528" s="2" t="s">
        <v>17</v>
      </c>
      <c r="N528" s="2" t="n">
        <v>0</v>
      </c>
    </row>
    <row r="529" customFormat="false" ht="15" hidden="false" customHeight="false" outlineLevel="0" collapsed="false">
      <c r="A529" s="2" t="s">
        <v>14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66.5</v>
      </c>
      <c r="K529" s="2" t="s">
        <v>15</v>
      </c>
      <c r="L529" s="2" t="s">
        <v>16</v>
      </c>
      <c r="M529" s="2" t="s">
        <v>20</v>
      </c>
      <c r="N529" s="2" t="n">
        <v>0</v>
      </c>
    </row>
    <row r="530" customFormat="false" ht="15" hidden="false" customHeight="false" outlineLevel="0" collapsed="false">
      <c r="A530" s="2" t="s">
        <v>14</v>
      </c>
      <c r="B530" s="2" t="n">
        <v>1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35.4</v>
      </c>
      <c r="K530" s="2" t="s">
        <v>21</v>
      </c>
      <c r="L530" s="2" t="s">
        <v>24</v>
      </c>
      <c r="M530" s="2" t="s">
        <v>20</v>
      </c>
      <c r="N530" s="2" t="n">
        <v>0</v>
      </c>
    </row>
    <row r="531" customFormat="false" ht="15" hidden="false" customHeight="false" outlineLevel="0" collapsed="false">
      <c r="A531" s="2" t="s">
        <v>14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64.3</v>
      </c>
      <c r="K531" s="2" t="s">
        <v>23</v>
      </c>
      <c r="L531" s="2" t="s">
        <v>19</v>
      </c>
      <c r="M531" s="2" t="s">
        <v>17</v>
      </c>
      <c r="N531" s="2" t="n">
        <v>0</v>
      </c>
    </row>
    <row r="532" customFormat="false" ht="15" hidden="false" customHeight="false" outlineLevel="0" collapsed="false">
      <c r="A532" s="2" t="s">
        <v>14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49.1</v>
      </c>
      <c r="K532" s="2" t="s">
        <v>23</v>
      </c>
      <c r="L532" s="2" t="s">
        <v>19</v>
      </c>
      <c r="M532" s="2" t="s">
        <v>20</v>
      </c>
      <c r="N532" s="2" t="n">
        <v>0</v>
      </c>
    </row>
    <row r="533" customFormat="false" ht="15" hidden="false" customHeight="false" outlineLevel="0" collapsed="false">
      <c r="A533" s="2" t="s">
        <v>14</v>
      </c>
      <c r="B533" s="2" t="n">
        <v>1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84.3</v>
      </c>
      <c r="K533" s="2" t="s">
        <v>18</v>
      </c>
      <c r="L533" s="2" t="s">
        <v>19</v>
      </c>
      <c r="M533" s="2" t="s">
        <v>20</v>
      </c>
      <c r="N533" s="2" t="n">
        <v>0</v>
      </c>
    </row>
    <row r="534" customFormat="false" ht="15" hidden="false" customHeight="false" outlineLevel="0" collapsed="false">
      <c r="A534" s="2" t="s">
        <v>14</v>
      </c>
      <c r="B534" s="2" t="n">
        <v>1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65.6</v>
      </c>
      <c r="K534" s="2" t="s">
        <v>23</v>
      </c>
      <c r="L534" s="2" t="s">
        <v>19</v>
      </c>
      <c r="M534" s="2" t="s">
        <v>22</v>
      </c>
      <c r="N534" s="2" t="n">
        <v>0</v>
      </c>
    </row>
    <row r="535" customFormat="false" ht="15" hidden="false" customHeight="false" outlineLevel="0" collapsed="false">
      <c r="A535" s="2" t="s">
        <v>14</v>
      </c>
      <c r="B535" s="2" t="n">
        <v>1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47.1</v>
      </c>
      <c r="K535" s="2" t="s">
        <v>21</v>
      </c>
      <c r="L535" s="2" t="s">
        <v>19</v>
      </c>
      <c r="M535" s="2" t="s">
        <v>20</v>
      </c>
      <c r="N535" s="2" t="n">
        <v>0</v>
      </c>
    </row>
    <row r="536" customFormat="false" ht="15" hidden="false" customHeight="false" outlineLevel="0" collapsed="false">
      <c r="A536" s="2" t="s">
        <v>14</v>
      </c>
      <c r="B536" s="2" t="n">
        <v>1</v>
      </c>
      <c r="C536" s="2" t="n">
        <v>1</v>
      </c>
      <c r="D536" s="2" t="n">
        <v>1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70</v>
      </c>
      <c r="K536" s="2" t="s">
        <v>15</v>
      </c>
      <c r="L536" s="2" t="s">
        <v>16</v>
      </c>
      <c r="M536" s="2" t="s">
        <v>20</v>
      </c>
      <c r="N536" s="2" t="n">
        <v>0</v>
      </c>
    </row>
    <row r="537" customFormat="false" ht="15" hidden="false" customHeight="false" outlineLevel="0" collapsed="false">
      <c r="A537" s="2" t="s">
        <v>14</v>
      </c>
      <c r="B537" s="2" t="n">
        <v>1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54.6</v>
      </c>
      <c r="K537" s="2" t="s">
        <v>23</v>
      </c>
      <c r="L537" s="2" t="s">
        <v>19</v>
      </c>
      <c r="M537" s="2" t="s">
        <v>22</v>
      </c>
      <c r="N537" s="2" t="n">
        <v>0</v>
      </c>
    </row>
    <row r="538" customFormat="false" ht="15" hidden="false" customHeight="false" outlineLevel="0" collapsed="false">
      <c r="A538" s="2" t="s">
        <v>14</v>
      </c>
      <c r="B538" s="2" t="n">
        <v>1</v>
      </c>
      <c r="C538" s="2" t="n">
        <v>1</v>
      </c>
      <c r="D538" s="2" t="n">
        <v>0</v>
      </c>
      <c r="E538" s="2" t="n">
        <v>0</v>
      </c>
      <c r="F538" s="2" t="n">
        <v>0</v>
      </c>
      <c r="G538" s="2" t="n">
        <v>1</v>
      </c>
      <c r="H538" s="2" t="n">
        <v>0</v>
      </c>
      <c r="I538" s="2" t="n">
        <v>65.2</v>
      </c>
      <c r="K538" s="2" t="s">
        <v>18</v>
      </c>
      <c r="L538" s="2" t="s">
        <v>24</v>
      </c>
      <c r="M538" s="2" t="s">
        <v>17</v>
      </c>
      <c r="N538" s="2" t="n">
        <v>1</v>
      </c>
    </row>
    <row r="539" customFormat="false" ht="15" hidden="false" customHeight="false" outlineLevel="0" collapsed="false">
      <c r="A539" s="2" t="s">
        <v>14</v>
      </c>
      <c r="B539" s="2" t="n">
        <v>1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65</v>
      </c>
      <c r="K539" s="2" t="s">
        <v>21</v>
      </c>
      <c r="L539" s="2" t="s">
        <v>19</v>
      </c>
      <c r="M539" s="2" t="s">
        <v>20</v>
      </c>
      <c r="N539" s="2" t="n">
        <v>0</v>
      </c>
    </row>
    <row r="540" customFormat="false" ht="15" hidden="false" customHeight="false" outlineLevel="0" collapsed="false">
      <c r="A540" s="2" t="s">
        <v>14</v>
      </c>
      <c r="B540" s="2" t="n">
        <v>1</v>
      </c>
      <c r="C540" s="2" t="n">
        <v>1</v>
      </c>
      <c r="D540" s="2" t="n">
        <v>1</v>
      </c>
      <c r="E540" s="2" t="n">
        <v>0</v>
      </c>
      <c r="F540" s="2" t="n">
        <v>0</v>
      </c>
      <c r="G540" s="2" t="n">
        <v>1</v>
      </c>
      <c r="H540" s="2" t="n">
        <v>0</v>
      </c>
      <c r="I540" s="2" t="n">
        <v>42.1</v>
      </c>
      <c r="K540" s="2" t="s">
        <v>18</v>
      </c>
      <c r="L540" s="2" t="s">
        <v>19</v>
      </c>
      <c r="M540" s="2" t="s">
        <v>22</v>
      </c>
      <c r="N540" s="2" t="n">
        <v>1</v>
      </c>
    </row>
    <row r="541" customFormat="false" ht="15" hidden="false" customHeight="false" outlineLevel="0" collapsed="false">
      <c r="A541" s="2" t="s">
        <v>14</v>
      </c>
      <c r="B541" s="2" t="n">
        <v>1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43.4</v>
      </c>
      <c r="K541" s="2" t="s">
        <v>18</v>
      </c>
      <c r="L541" s="2" t="s">
        <v>24</v>
      </c>
      <c r="M541" s="2" t="s">
        <v>20</v>
      </c>
      <c r="N541" s="2" t="n">
        <v>0</v>
      </c>
    </row>
    <row r="542" customFormat="false" ht="15" hidden="false" customHeight="false" outlineLevel="0" collapsed="false">
      <c r="A542" s="2" t="s">
        <v>14</v>
      </c>
      <c r="B542" s="2" t="n">
        <v>1</v>
      </c>
      <c r="C542" s="2" t="n">
        <v>1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39.9</v>
      </c>
      <c r="K542" s="2" t="s">
        <v>15</v>
      </c>
      <c r="L542" s="2" t="s">
        <v>19</v>
      </c>
      <c r="M542" s="2" t="s">
        <v>17</v>
      </c>
      <c r="N542" s="2" t="n">
        <v>0</v>
      </c>
    </row>
    <row r="543" customFormat="false" ht="15" hidden="false" customHeight="false" outlineLevel="0" collapsed="false">
      <c r="A543" s="2" t="s">
        <v>14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74.1</v>
      </c>
      <c r="K543" s="2" t="s">
        <v>15</v>
      </c>
      <c r="L543" s="2" t="s">
        <v>19</v>
      </c>
      <c r="M543" s="2" t="s">
        <v>17</v>
      </c>
      <c r="N543" s="2" t="n">
        <v>0</v>
      </c>
    </row>
    <row r="544" customFormat="false" ht="15" hidden="false" customHeight="false" outlineLevel="0" collapsed="false">
      <c r="A544" s="2" t="s">
        <v>14</v>
      </c>
      <c r="B544" s="2" t="n">
        <v>1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61.4</v>
      </c>
      <c r="K544" s="2" t="s">
        <v>21</v>
      </c>
      <c r="L544" s="2" t="s">
        <v>16</v>
      </c>
      <c r="M544" s="2" t="s">
        <v>20</v>
      </c>
      <c r="N544" s="2" t="n">
        <v>0</v>
      </c>
    </row>
    <row r="545" customFormat="false" ht="15" hidden="false" customHeight="false" outlineLevel="0" collapsed="false">
      <c r="A545" s="2" t="s">
        <v>14</v>
      </c>
      <c r="B545" s="2" t="n">
        <v>1</v>
      </c>
      <c r="C545" s="2" t="n">
        <v>1</v>
      </c>
      <c r="D545" s="2" t="n">
        <v>1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76.8</v>
      </c>
      <c r="K545" s="2" t="s">
        <v>21</v>
      </c>
      <c r="L545" s="2" t="s">
        <v>19</v>
      </c>
      <c r="M545" s="2" t="s">
        <v>22</v>
      </c>
      <c r="N545" s="2" t="n">
        <v>0</v>
      </c>
    </row>
    <row r="546" customFormat="false" ht="15" hidden="false" customHeight="false" outlineLevel="0" collapsed="false">
      <c r="A546" s="2" t="s">
        <v>14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K546" s="2" t="s">
        <v>23</v>
      </c>
      <c r="L546" s="2" t="s">
        <v>16</v>
      </c>
      <c r="M546" s="2" t="s">
        <v>17</v>
      </c>
      <c r="N546" s="2" t="n">
        <v>0</v>
      </c>
    </row>
    <row r="547" customFormat="false" ht="15" hidden="false" customHeight="false" outlineLevel="0" collapsed="false">
      <c r="A547" s="2" t="s">
        <v>14</v>
      </c>
      <c r="B547" s="2" t="n">
        <v>1</v>
      </c>
      <c r="C547" s="2" t="n">
        <v>1</v>
      </c>
      <c r="D547" s="2" t="n">
        <v>1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45.3</v>
      </c>
      <c r="K547" s="2" t="s">
        <v>21</v>
      </c>
      <c r="L547" s="2" t="s">
        <v>19</v>
      </c>
      <c r="M547" s="2" t="s">
        <v>17</v>
      </c>
      <c r="N547" s="2" t="n">
        <v>0</v>
      </c>
    </row>
    <row r="548" customFormat="false" ht="15" hidden="false" customHeight="false" outlineLevel="0" collapsed="false">
      <c r="A548" s="2" t="s">
        <v>14</v>
      </c>
      <c r="B548" s="2" t="n">
        <v>1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41.4</v>
      </c>
      <c r="K548" s="2" t="s">
        <v>15</v>
      </c>
      <c r="L548" s="2" t="s">
        <v>24</v>
      </c>
      <c r="M548" s="2" t="s">
        <v>20</v>
      </c>
      <c r="N548" s="2" t="n">
        <v>0</v>
      </c>
    </row>
    <row r="549" customFormat="false" ht="15" hidden="false" customHeight="false" outlineLevel="0" collapsed="false">
      <c r="A549" s="2" t="s">
        <v>14</v>
      </c>
      <c r="B549" s="2" t="n">
        <v>1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37.1</v>
      </c>
      <c r="K549" s="2" t="s">
        <v>15</v>
      </c>
      <c r="L549" s="2" t="s">
        <v>19</v>
      </c>
      <c r="M549" s="2" t="s">
        <v>17</v>
      </c>
      <c r="N549" s="2" t="n">
        <v>0</v>
      </c>
    </row>
    <row r="550" customFormat="false" ht="15" hidden="false" customHeight="false" outlineLevel="0" collapsed="false">
      <c r="A550" s="2" t="s">
        <v>14</v>
      </c>
      <c r="B550" s="2" t="n">
        <v>1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40.7</v>
      </c>
      <c r="K550" s="2" t="s">
        <v>21</v>
      </c>
      <c r="L550" s="2" t="s">
        <v>16</v>
      </c>
      <c r="M550" s="2" t="s">
        <v>20</v>
      </c>
      <c r="N550" s="2" t="n">
        <v>0</v>
      </c>
    </row>
    <row r="551" customFormat="false" ht="15" hidden="false" customHeight="false" outlineLevel="0" collapsed="false">
      <c r="A551" s="2" t="s">
        <v>14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1</v>
      </c>
      <c r="H551" s="2" t="n">
        <v>0</v>
      </c>
      <c r="I551" s="2" t="n">
        <v>55.9</v>
      </c>
      <c r="K551" s="2" t="s">
        <v>15</v>
      </c>
      <c r="L551" s="2" t="s">
        <v>19</v>
      </c>
      <c r="M551" s="2" t="s">
        <v>22</v>
      </c>
      <c r="N551" s="2" t="n">
        <v>2</v>
      </c>
    </row>
    <row r="552" customFormat="false" ht="15" hidden="false" customHeight="false" outlineLevel="0" collapsed="false">
      <c r="A552" s="2" t="s">
        <v>14</v>
      </c>
      <c r="B552" s="2" t="n">
        <v>1</v>
      </c>
      <c r="C552" s="2" t="n">
        <v>1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55.8</v>
      </c>
      <c r="K552" s="2" t="s">
        <v>21</v>
      </c>
      <c r="L552" s="2" t="s">
        <v>25</v>
      </c>
      <c r="M552" s="2" t="s">
        <v>20</v>
      </c>
      <c r="N552" s="2" t="n">
        <v>0</v>
      </c>
    </row>
    <row r="553" customFormat="false" ht="15" hidden="false" customHeight="false" outlineLevel="0" collapsed="false">
      <c r="A553" s="2" t="s">
        <v>14</v>
      </c>
      <c r="B553" s="2" t="n">
        <v>1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64.3</v>
      </c>
      <c r="K553" s="2" t="s">
        <v>23</v>
      </c>
      <c r="L553" s="2" t="s">
        <v>24</v>
      </c>
      <c r="M553" s="2" t="s">
        <v>17</v>
      </c>
      <c r="N553" s="2" t="n">
        <v>0</v>
      </c>
    </row>
    <row r="554" customFormat="false" ht="15" hidden="false" customHeight="false" outlineLevel="0" collapsed="false">
      <c r="A554" s="2" t="s">
        <v>14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65.4</v>
      </c>
      <c r="K554" s="2" t="s">
        <v>15</v>
      </c>
      <c r="L554" s="2" t="s">
        <v>19</v>
      </c>
      <c r="M554" s="2" t="s">
        <v>20</v>
      </c>
      <c r="N554" s="2" t="n">
        <v>0</v>
      </c>
    </row>
    <row r="555" customFormat="false" ht="15" hidden="false" customHeight="false" outlineLevel="0" collapsed="false">
      <c r="A555" s="2" t="s">
        <v>14</v>
      </c>
      <c r="B555" s="2" t="n">
        <v>1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89.8</v>
      </c>
      <c r="K555" s="2" t="s">
        <v>18</v>
      </c>
      <c r="L555" s="2" t="s">
        <v>19</v>
      </c>
      <c r="M555" s="2" t="s">
        <v>20</v>
      </c>
      <c r="N555" s="2" t="n">
        <v>0</v>
      </c>
    </row>
    <row r="556" customFormat="false" ht="15" hidden="false" customHeight="false" outlineLevel="0" collapsed="false">
      <c r="A556" s="2" t="s">
        <v>14</v>
      </c>
      <c r="B556" s="2" t="n">
        <v>1</v>
      </c>
      <c r="C556" s="2" t="n">
        <v>1</v>
      </c>
      <c r="D556" s="2" t="n">
        <v>1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58.3</v>
      </c>
      <c r="K556" s="2" t="s">
        <v>23</v>
      </c>
      <c r="L556" s="2" t="s">
        <v>25</v>
      </c>
      <c r="M556" s="2" t="s">
        <v>20</v>
      </c>
      <c r="N556" s="2" t="n">
        <v>0</v>
      </c>
    </row>
    <row r="557" customFormat="false" ht="15" hidden="false" customHeight="false" outlineLevel="0" collapsed="false">
      <c r="A557" s="2" t="s">
        <v>14</v>
      </c>
      <c r="B557" s="2" t="n">
        <v>1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64.4</v>
      </c>
      <c r="K557" s="2" t="s">
        <v>23</v>
      </c>
      <c r="L557" s="2" t="s">
        <v>19</v>
      </c>
      <c r="M557" s="2" t="s">
        <v>17</v>
      </c>
      <c r="N557" s="2" t="n">
        <v>0</v>
      </c>
    </row>
    <row r="558" customFormat="false" ht="15" hidden="false" customHeight="false" outlineLevel="0" collapsed="false">
      <c r="A558" s="2" t="s">
        <v>14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46.2</v>
      </c>
      <c r="K558" s="2" t="s">
        <v>15</v>
      </c>
      <c r="L558" s="2" t="s">
        <v>19</v>
      </c>
      <c r="M558" s="2" t="s">
        <v>22</v>
      </c>
      <c r="N558" s="2" t="n">
        <v>0</v>
      </c>
    </row>
    <row r="559" customFormat="false" ht="15" hidden="false" customHeight="false" outlineLevel="0" collapsed="false">
      <c r="A559" s="2" t="s">
        <v>14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78</v>
      </c>
      <c r="K559" s="2" t="s">
        <v>15</v>
      </c>
      <c r="L559" s="2" t="s">
        <v>16</v>
      </c>
      <c r="M559" s="2" t="s">
        <v>20</v>
      </c>
      <c r="N559" s="2" t="n">
        <v>0</v>
      </c>
    </row>
    <row r="560" customFormat="false" ht="15" hidden="false" customHeight="false" outlineLevel="0" collapsed="false">
      <c r="A560" s="2" t="s">
        <v>14</v>
      </c>
      <c r="B560" s="2" t="n">
        <v>1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62.3</v>
      </c>
      <c r="K560" s="2" t="s">
        <v>15</v>
      </c>
      <c r="L560" s="2" t="s">
        <v>16</v>
      </c>
      <c r="M560" s="2" t="s">
        <v>22</v>
      </c>
      <c r="N560" s="2" t="n">
        <v>0</v>
      </c>
    </row>
    <row r="561" customFormat="false" ht="15" hidden="false" customHeight="false" outlineLevel="0" collapsed="false">
      <c r="A561" s="2" t="s">
        <v>14</v>
      </c>
      <c r="B561" s="2" t="n">
        <v>1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78.8</v>
      </c>
      <c r="K561" s="2" t="s">
        <v>15</v>
      </c>
      <c r="L561" s="2" t="s">
        <v>19</v>
      </c>
      <c r="M561" s="2" t="s">
        <v>20</v>
      </c>
      <c r="N561" s="2" t="n">
        <v>0</v>
      </c>
    </row>
    <row r="562" customFormat="false" ht="15" hidden="false" customHeight="false" outlineLevel="0" collapsed="false">
      <c r="A562" s="2" t="s">
        <v>14</v>
      </c>
      <c r="B562" s="2" t="n">
        <v>1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25</v>
      </c>
      <c r="K562" s="2" t="s">
        <v>15</v>
      </c>
      <c r="L562" s="2" t="s">
        <v>19</v>
      </c>
      <c r="M562" s="2" t="s">
        <v>17</v>
      </c>
      <c r="N562" s="2" t="n">
        <v>0</v>
      </c>
    </row>
    <row r="563" customFormat="false" ht="15" hidden="false" customHeight="false" outlineLevel="0" collapsed="false">
      <c r="A563" s="2" t="s">
        <v>14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53.4</v>
      </c>
      <c r="K563" s="2" t="s">
        <v>21</v>
      </c>
      <c r="L563" s="2" t="s">
        <v>19</v>
      </c>
      <c r="M563" s="2" t="s">
        <v>17</v>
      </c>
      <c r="N563" s="2" t="n">
        <v>0</v>
      </c>
    </row>
    <row r="564" customFormat="false" ht="15" hidden="false" customHeight="false" outlineLevel="0" collapsed="false">
      <c r="A564" s="2" t="s">
        <v>14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40.7</v>
      </c>
      <c r="K564" s="2" t="s">
        <v>21</v>
      </c>
      <c r="L564" s="2" t="s">
        <v>16</v>
      </c>
      <c r="M564" s="2" t="s">
        <v>17</v>
      </c>
      <c r="N564" s="2" t="n">
        <v>0</v>
      </c>
    </row>
    <row r="565" customFormat="false" ht="15" hidden="false" customHeight="false" outlineLevel="0" collapsed="false">
      <c r="A565" s="2" t="s">
        <v>14</v>
      </c>
      <c r="B565" s="2" t="n">
        <v>1</v>
      </c>
      <c r="C565" s="2" t="n">
        <v>1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36.7</v>
      </c>
      <c r="K565" s="2" t="s">
        <v>21</v>
      </c>
      <c r="L565" s="2" t="s">
        <v>19</v>
      </c>
      <c r="M565" s="2" t="s">
        <v>22</v>
      </c>
      <c r="N565" s="2" t="n">
        <v>0</v>
      </c>
    </row>
    <row r="566" customFormat="false" ht="15" hidden="false" customHeight="false" outlineLevel="0" collapsed="false">
      <c r="A566" s="2" t="s">
        <v>14</v>
      </c>
      <c r="B566" s="2" t="n">
        <v>1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1</v>
      </c>
      <c r="H566" s="2" t="n">
        <v>0</v>
      </c>
      <c r="I566" s="2" t="n">
        <v>67.5</v>
      </c>
      <c r="K566" s="2" t="s">
        <v>18</v>
      </c>
      <c r="L566" s="2" t="s">
        <v>19</v>
      </c>
      <c r="M566" s="2" t="s">
        <v>17</v>
      </c>
      <c r="N566" s="2" t="n">
        <v>1</v>
      </c>
    </row>
    <row r="567" customFormat="false" ht="15" hidden="false" customHeight="false" outlineLevel="0" collapsed="false">
      <c r="A567" s="2" t="s">
        <v>14</v>
      </c>
      <c r="B567" s="2" t="n">
        <v>1</v>
      </c>
      <c r="C567" s="2" t="n">
        <v>1</v>
      </c>
      <c r="D567" s="2" t="n">
        <v>1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69.9</v>
      </c>
      <c r="K567" s="2" t="s">
        <v>21</v>
      </c>
      <c r="L567" s="2" t="s">
        <v>19</v>
      </c>
      <c r="M567" s="2" t="s">
        <v>22</v>
      </c>
      <c r="N567" s="2" t="n">
        <v>0</v>
      </c>
    </row>
    <row r="568" customFormat="false" ht="15" hidden="false" customHeight="false" outlineLevel="0" collapsed="false">
      <c r="A568" s="2" t="s">
        <v>14</v>
      </c>
      <c r="B568" s="2" t="n">
        <v>1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65.1</v>
      </c>
      <c r="K568" s="2" t="s">
        <v>15</v>
      </c>
      <c r="L568" s="2" t="s">
        <v>24</v>
      </c>
      <c r="M568" s="2" t="s">
        <v>17</v>
      </c>
      <c r="N568" s="2" t="n">
        <v>0</v>
      </c>
    </row>
    <row r="569" customFormat="false" ht="15" hidden="false" customHeight="false" outlineLevel="0" collapsed="false">
      <c r="A569" s="2" t="s">
        <v>14</v>
      </c>
      <c r="B569" s="2" t="n">
        <v>1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48.7</v>
      </c>
      <c r="K569" s="2" t="s">
        <v>18</v>
      </c>
      <c r="L569" s="2" t="s">
        <v>19</v>
      </c>
      <c r="M569" s="2" t="s">
        <v>22</v>
      </c>
      <c r="N569" s="2" t="n">
        <v>0</v>
      </c>
    </row>
    <row r="570" customFormat="false" ht="15" hidden="false" customHeight="false" outlineLevel="0" collapsed="false">
      <c r="A570" s="2" t="s">
        <v>14</v>
      </c>
      <c r="B570" s="2" t="n">
        <v>1</v>
      </c>
      <c r="C570" s="2" t="n">
        <v>1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47.2</v>
      </c>
      <c r="K570" s="2" t="s">
        <v>18</v>
      </c>
      <c r="L570" s="2" t="s">
        <v>16</v>
      </c>
      <c r="M570" s="2" t="s">
        <v>17</v>
      </c>
      <c r="N570" s="2" t="n">
        <v>0</v>
      </c>
    </row>
    <row r="571" customFormat="false" ht="15" hidden="false" customHeight="false" outlineLevel="0" collapsed="false">
      <c r="A571" s="2" t="s">
        <v>14</v>
      </c>
      <c r="B571" s="2" t="n">
        <v>1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1</v>
      </c>
      <c r="H571" s="2" t="n">
        <v>0</v>
      </c>
      <c r="I571" s="2" t="n">
        <v>20.3</v>
      </c>
      <c r="K571" s="2" t="s">
        <v>15</v>
      </c>
      <c r="L571" s="2" t="s">
        <v>19</v>
      </c>
      <c r="M571" s="2" t="s">
        <v>20</v>
      </c>
      <c r="N571" s="2" t="n">
        <v>2</v>
      </c>
    </row>
    <row r="572" customFormat="false" ht="15" hidden="false" customHeight="false" outlineLevel="0" collapsed="false">
      <c r="A572" s="2" t="s">
        <v>14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1</v>
      </c>
      <c r="H572" s="2" t="n">
        <v>0</v>
      </c>
      <c r="I572" s="2" t="n">
        <v>57.8</v>
      </c>
      <c r="K572" s="2" t="s">
        <v>18</v>
      </c>
      <c r="L572" s="2" t="s">
        <v>19</v>
      </c>
      <c r="M572" s="2" t="s">
        <v>20</v>
      </c>
      <c r="N572" s="2" t="n">
        <v>1</v>
      </c>
    </row>
    <row r="573" customFormat="false" ht="15" hidden="false" customHeight="false" outlineLevel="0" collapsed="false">
      <c r="A573" s="2" t="s">
        <v>14</v>
      </c>
      <c r="B573" s="2" t="n">
        <v>1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78.7</v>
      </c>
      <c r="K573" s="2" t="s">
        <v>21</v>
      </c>
      <c r="L573" s="2" t="s">
        <v>19</v>
      </c>
      <c r="M573" s="2" t="s">
        <v>17</v>
      </c>
      <c r="N573" s="2" t="n">
        <v>0</v>
      </c>
    </row>
    <row r="574" customFormat="false" ht="15" hidden="false" customHeight="false" outlineLevel="0" collapsed="false">
      <c r="A574" s="2" t="s">
        <v>14</v>
      </c>
      <c r="B574" s="2" t="n">
        <v>1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63.6</v>
      </c>
      <c r="K574" s="2" t="s">
        <v>23</v>
      </c>
      <c r="L574" s="2" t="s">
        <v>16</v>
      </c>
      <c r="M574" s="2" t="s">
        <v>20</v>
      </c>
      <c r="N574" s="2" t="n">
        <v>0</v>
      </c>
    </row>
    <row r="575" customFormat="false" ht="15" hidden="false" customHeight="false" outlineLevel="0" collapsed="false">
      <c r="A575" s="2" t="s">
        <v>14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1</v>
      </c>
      <c r="H575" s="2" t="n">
        <v>0</v>
      </c>
      <c r="I575" s="2" t="n">
        <v>45.1</v>
      </c>
      <c r="K575" s="2" t="s">
        <v>23</v>
      </c>
      <c r="L575" s="2" t="s">
        <v>19</v>
      </c>
      <c r="M575" s="2" t="s">
        <v>20</v>
      </c>
      <c r="N575" s="2" t="n">
        <v>2</v>
      </c>
    </row>
    <row r="576" customFormat="false" ht="15" hidden="false" customHeight="false" outlineLevel="0" collapsed="false">
      <c r="A576" s="2" t="s">
        <v>14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77.5</v>
      </c>
      <c r="K576" s="2" t="s">
        <v>18</v>
      </c>
      <c r="L576" s="2" t="s">
        <v>19</v>
      </c>
      <c r="M576" s="2" t="s">
        <v>20</v>
      </c>
      <c r="N576" s="2" t="n">
        <v>0</v>
      </c>
    </row>
    <row r="577" customFormat="false" ht="15" hidden="false" customHeight="false" outlineLevel="0" collapsed="false">
      <c r="A577" s="2" t="s">
        <v>14</v>
      </c>
      <c r="B577" s="2" t="n">
        <v>1</v>
      </c>
      <c r="C577" s="2" t="n">
        <v>1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58</v>
      </c>
      <c r="K577" s="2" t="s">
        <v>21</v>
      </c>
      <c r="L577" s="2" t="s">
        <v>16</v>
      </c>
      <c r="M577" s="2" t="s">
        <v>17</v>
      </c>
      <c r="N577" s="2" t="n">
        <v>0</v>
      </c>
    </row>
    <row r="578" customFormat="false" ht="15" hidden="false" customHeight="false" outlineLevel="0" collapsed="false">
      <c r="A578" s="2" t="s">
        <v>14</v>
      </c>
      <c r="B578" s="2" t="n">
        <v>1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68.1</v>
      </c>
      <c r="K578" s="2" t="s">
        <v>23</v>
      </c>
      <c r="L578" s="2" t="s">
        <v>24</v>
      </c>
      <c r="M578" s="2" t="s">
        <v>20</v>
      </c>
      <c r="N578" s="2" t="n">
        <v>0</v>
      </c>
    </row>
    <row r="579" customFormat="false" ht="15" hidden="false" customHeight="false" outlineLevel="0" collapsed="false">
      <c r="A579" s="2" t="s">
        <v>14</v>
      </c>
      <c r="B579" s="2" t="n">
        <v>1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35.4</v>
      </c>
      <c r="K579" s="2" t="s">
        <v>21</v>
      </c>
      <c r="L579" s="2" t="s">
        <v>24</v>
      </c>
      <c r="M579" s="2" t="s">
        <v>22</v>
      </c>
      <c r="N579" s="2" t="n">
        <v>0</v>
      </c>
    </row>
    <row r="580" customFormat="false" ht="15" hidden="false" customHeight="false" outlineLevel="0" collapsed="false">
      <c r="A580" s="2" t="s">
        <v>14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47</v>
      </c>
      <c r="K580" s="2" t="s">
        <v>18</v>
      </c>
      <c r="L580" s="2" t="s">
        <v>24</v>
      </c>
      <c r="M580" s="2" t="s">
        <v>20</v>
      </c>
      <c r="N580" s="2" t="n">
        <v>0</v>
      </c>
    </row>
    <row r="581" customFormat="false" ht="15" hidden="false" customHeight="false" outlineLevel="0" collapsed="false">
      <c r="A581" s="2" t="s">
        <v>14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75</v>
      </c>
      <c r="K581" s="2" t="s">
        <v>21</v>
      </c>
      <c r="L581" s="2" t="s">
        <v>16</v>
      </c>
      <c r="M581" s="2" t="s">
        <v>20</v>
      </c>
      <c r="N581" s="2" t="n">
        <v>0</v>
      </c>
    </row>
    <row r="582" customFormat="false" ht="15" hidden="false" customHeight="false" outlineLevel="0" collapsed="false">
      <c r="A582" s="2" t="s">
        <v>14</v>
      </c>
      <c r="B582" s="2" t="n">
        <v>1</v>
      </c>
      <c r="C582" s="2" t="n">
        <v>1</v>
      </c>
      <c r="D582" s="2" t="n">
        <v>1</v>
      </c>
      <c r="E582" s="2" t="n">
        <v>0</v>
      </c>
      <c r="F582" s="2" t="n">
        <v>0</v>
      </c>
      <c r="G582" s="2" t="n">
        <v>1</v>
      </c>
      <c r="H582" s="2" t="n">
        <v>0</v>
      </c>
      <c r="I582" s="2" t="n">
        <v>50.2</v>
      </c>
      <c r="K582" s="2" t="s">
        <v>23</v>
      </c>
      <c r="L582" s="2" t="s">
        <v>16</v>
      </c>
      <c r="M582" s="2" t="s">
        <v>20</v>
      </c>
      <c r="N582" s="2" t="n">
        <v>3</v>
      </c>
    </row>
    <row r="583" customFormat="false" ht="15" hidden="false" customHeight="false" outlineLevel="0" collapsed="false">
      <c r="A583" s="2" t="s">
        <v>14</v>
      </c>
      <c r="B583" s="2" t="n">
        <v>1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40.1</v>
      </c>
      <c r="K583" s="2" t="s">
        <v>21</v>
      </c>
      <c r="L583" s="2" t="s">
        <v>16</v>
      </c>
      <c r="M583" s="2" t="s">
        <v>20</v>
      </c>
      <c r="N583" s="2" t="n">
        <v>0</v>
      </c>
    </row>
    <row r="584" customFormat="false" ht="15" hidden="false" customHeight="false" outlineLevel="0" collapsed="false">
      <c r="A584" s="2" t="s">
        <v>14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61.1</v>
      </c>
      <c r="K584" s="2" t="s">
        <v>18</v>
      </c>
      <c r="L584" s="2" t="s">
        <v>16</v>
      </c>
      <c r="M584" s="2" t="s">
        <v>20</v>
      </c>
      <c r="N584" s="2" t="n">
        <v>0</v>
      </c>
    </row>
    <row r="585" customFormat="false" ht="15" hidden="false" customHeight="false" outlineLevel="0" collapsed="false">
      <c r="A585" s="2" t="s">
        <v>14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42.4</v>
      </c>
      <c r="K585" s="2" t="s">
        <v>23</v>
      </c>
      <c r="L585" s="2" t="s">
        <v>16</v>
      </c>
      <c r="M585" s="2" t="s">
        <v>20</v>
      </c>
      <c r="N585" s="2" t="n">
        <v>0</v>
      </c>
    </row>
    <row r="586" customFormat="false" ht="15" hidden="false" customHeight="false" outlineLevel="0" collapsed="false">
      <c r="A586" s="2" t="s">
        <v>14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1</v>
      </c>
      <c r="H586" s="2" t="n">
        <v>0</v>
      </c>
      <c r="I586" s="2" t="n">
        <v>46.6</v>
      </c>
      <c r="K586" s="2" t="s">
        <v>15</v>
      </c>
      <c r="L586" s="2" t="s">
        <v>19</v>
      </c>
      <c r="M586" s="2" t="s">
        <v>20</v>
      </c>
      <c r="N586" s="2" t="n">
        <v>1</v>
      </c>
    </row>
    <row r="587" customFormat="false" ht="15" hidden="false" customHeight="false" outlineLevel="0" collapsed="false">
      <c r="A587" s="2" t="s">
        <v>14</v>
      </c>
      <c r="B587" s="2" t="n">
        <v>1</v>
      </c>
      <c r="C587" s="2" t="n">
        <v>1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72.1</v>
      </c>
      <c r="K587" s="2" t="s">
        <v>23</v>
      </c>
      <c r="L587" s="2" t="s">
        <v>19</v>
      </c>
      <c r="M587" s="2" t="s">
        <v>22</v>
      </c>
      <c r="N587" s="2" t="n">
        <v>0</v>
      </c>
    </row>
    <row r="588" customFormat="false" ht="15" hidden="false" customHeight="false" outlineLevel="0" collapsed="false">
      <c r="A588" s="2" t="s">
        <v>14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21.5</v>
      </c>
      <c r="K588" s="2" t="s">
        <v>21</v>
      </c>
      <c r="L588" s="2" t="s">
        <v>24</v>
      </c>
      <c r="M588" s="2" t="s">
        <v>20</v>
      </c>
      <c r="N588" s="2" t="n">
        <v>0</v>
      </c>
    </row>
    <row r="589" customFormat="false" ht="15" hidden="false" customHeight="false" outlineLevel="0" collapsed="false">
      <c r="A589" s="2" t="s">
        <v>14</v>
      </c>
      <c r="B589" s="2" t="n">
        <v>1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1</v>
      </c>
      <c r="H589" s="2" t="n">
        <v>0</v>
      </c>
      <c r="I589" s="2" t="n">
        <v>65.4</v>
      </c>
      <c r="K589" s="2" t="s">
        <v>15</v>
      </c>
      <c r="L589" s="2" t="s">
        <v>19</v>
      </c>
      <c r="M589" s="2" t="s">
        <v>17</v>
      </c>
      <c r="N589" s="2" t="n">
        <v>1</v>
      </c>
    </row>
    <row r="590" customFormat="false" ht="15" hidden="false" customHeight="false" outlineLevel="0" collapsed="false">
      <c r="A590" s="2" t="s">
        <v>14</v>
      </c>
      <c r="B590" s="2" t="n">
        <v>1</v>
      </c>
      <c r="C590" s="2" t="n">
        <v>1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53.3</v>
      </c>
      <c r="K590" s="2" t="s">
        <v>21</v>
      </c>
      <c r="L590" s="2" t="s">
        <v>19</v>
      </c>
      <c r="M590" s="2" t="s">
        <v>20</v>
      </c>
      <c r="N590" s="2" t="n">
        <v>0</v>
      </c>
    </row>
    <row r="591" customFormat="false" ht="15" hidden="false" customHeight="false" outlineLevel="0" collapsed="false">
      <c r="A591" s="2" t="s">
        <v>14</v>
      </c>
      <c r="B591" s="2" t="n">
        <v>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1</v>
      </c>
      <c r="H591" s="2" t="n">
        <v>0</v>
      </c>
      <c r="I591" s="2" t="n">
        <v>52.3</v>
      </c>
      <c r="K591" s="2" t="s">
        <v>21</v>
      </c>
      <c r="L591" s="2" t="s">
        <v>19</v>
      </c>
      <c r="M591" s="2" t="s">
        <v>22</v>
      </c>
      <c r="N591" s="2" t="n">
        <v>2</v>
      </c>
    </row>
    <row r="592" customFormat="false" ht="15" hidden="false" customHeight="false" outlineLevel="0" collapsed="false">
      <c r="A592" s="2" t="s">
        <v>14</v>
      </c>
      <c r="B592" s="2" t="n">
        <v>1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62.5</v>
      </c>
      <c r="K592" s="2" t="s">
        <v>21</v>
      </c>
      <c r="L592" s="2" t="s">
        <v>19</v>
      </c>
      <c r="M592" s="2" t="s">
        <v>20</v>
      </c>
      <c r="N592" s="2" t="n">
        <v>0</v>
      </c>
    </row>
    <row r="593" customFormat="false" ht="15" hidden="false" customHeight="false" outlineLevel="0" collapsed="false">
      <c r="A593" s="2" t="s">
        <v>14</v>
      </c>
      <c r="B593" s="2" t="n">
        <v>1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69.8</v>
      </c>
      <c r="K593" s="2" t="s">
        <v>15</v>
      </c>
      <c r="L593" s="2" t="s">
        <v>24</v>
      </c>
      <c r="M593" s="2" t="s">
        <v>20</v>
      </c>
      <c r="N593" s="2" t="n">
        <v>0</v>
      </c>
    </row>
    <row r="594" customFormat="false" ht="15" hidden="false" customHeight="false" outlineLevel="0" collapsed="false">
      <c r="A594" s="2" t="s">
        <v>14</v>
      </c>
      <c r="B594" s="2" t="n">
        <v>1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68.2</v>
      </c>
      <c r="K594" s="2" t="s">
        <v>21</v>
      </c>
      <c r="L594" s="2" t="s">
        <v>19</v>
      </c>
      <c r="M594" s="2" t="s">
        <v>20</v>
      </c>
      <c r="N594" s="2" t="n">
        <v>0</v>
      </c>
    </row>
    <row r="595" customFormat="false" ht="15" hidden="false" customHeight="false" outlineLevel="0" collapsed="false">
      <c r="A595" s="2" t="s">
        <v>14</v>
      </c>
      <c r="B595" s="2" t="n">
        <v>1</v>
      </c>
      <c r="C595" s="2" t="n">
        <v>1</v>
      </c>
      <c r="D595" s="2" t="n">
        <v>1</v>
      </c>
      <c r="E595" s="2" t="n">
        <v>1</v>
      </c>
      <c r="F595" s="2" t="n">
        <v>751.73</v>
      </c>
      <c r="G595" s="2" t="n">
        <v>0</v>
      </c>
      <c r="H595" s="2" t="n">
        <v>0</v>
      </c>
      <c r="I595" s="2" t="n">
        <v>35.2</v>
      </c>
      <c r="J595" s="2" t="n">
        <v>6</v>
      </c>
      <c r="K595" s="2" t="s">
        <v>23</v>
      </c>
      <c r="L595" s="2" t="s">
        <v>19</v>
      </c>
      <c r="M595" s="2" t="s">
        <v>17</v>
      </c>
      <c r="N595" s="2" t="n">
        <v>0</v>
      </c>
    </row>
    <row r="596" customFormat="false" ht="15" hidden="false" customHeight="false" outlineLevel="0" collapsed="false">
      <c r="A596" s="2" t="s">
        <v>14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59.3</v>
      </c>
      <c r="K596" s="2" t="s">
        <v>23</v>
      </c>
      <c r="L596" s="2" t="s">
        <v>19</v>
      </c>
      <c r="M596" s="2" t="s">
        <v>17</v>
      </c>
      <c r="N596" s="2" t="n">
        <v>0</v>
      </c>
    </row>
    <row r="597" customFormat="false" ht="15" hidden="false" customHeight="false" outlineLevel="0" collapsed="false">
      <c r="A597" s="2" t="s">
        <v>14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68.1</v>
      </c>
      <c r="K597" s="2" t="s">
        <v>15</v>
      </c>
      <c r="L597" s="2" t="s">
        <v>19</v>
      </c>
      <c r="M597" s="2" t="s">
        <v>20</v>
      </c>
      <c r="N597" s="2" t="n">
        <v>0</v>
      </c>
    </row>
    <row r="598" customFormat="false" ht="15" hidden="false" customHeight="false" outlineLevel="0" collapsed="false">
      <c r="A598" s="2" t="s">
        <v>14</v>
      </c>
      <c r="B598" s="2" t="n">
        <v>1</v>
      </c>
      <c r="C598" s="2" t="n">
        <v>1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74.8</v>
      </c>
      <c r="K598" s="2" t="s">
        <v>15</v>
      </c>
      <c r="L598" s="2" t="s">
        <v>16</v>
      </c>
      <c r="M598" s="2" t="s">
        <v>20</v>
      </c>
      <c r="N598" s="2" t="n">
        <v>0</v>
      </c>
    </row>
    <row r="599" customFormat="false" ht="15" hidden="false" customHeight="false" outlineLevel="0" collapsed="false">
      <c r="A599" s="2" t="s">
        <v>14</v>
      </c>
      <c r="B599" s="2" t="n">
        <v>1</v>
      </c>
      <c r="C599" s="2" t="n">
        <v>1</v>
      </c>
      <c r="D599" s="2" t="n">
        <v>1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61.7</v>
      </c>
      <c r="K599" s="2" t="s">
        <v>18</v>
      </c>
      <c r="L599" s="2" t="s">
        <v>16</v>
      </c>
      <c r="M599" s="2" t="s">
        <v>20</v>
      </c>
      <c r="N599" s="2" t="n">
        <v>0</v>
      </c>
    </row>
    <row r="600" customFormat="false" ht="15" hidden="false" customHeight="false" outlineLevel="0" collapsed="false">
      <c r="A600" s="2" t="s">
        <v>14</v>
      </c>
      <c r="B600" s="2" t="n">
        <v>1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24.3</v>
      </c>
      <c r="K600" s="2" t="s">
        <v>15</v>
      </c>
      <c r="L600" s="2" t="s">
        <v>19</v>
      </c>
      <c r="M600" s="2" t="s">
        <v>20</v>
      </c>
      <c r="N600" s="2" t="n">
        <v>0</v>
      </c>
    </row>
    <row r="601" customFormat="false" ht="15" hidden="false" customHeight="false" outlineLevel="0" collapsed="false">
      <c r="A601" s="2" t="s">
        <v>14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1</v>
      </c>
      <c r="H601" s="2" t="n">
        <v>0</v>
      </c>
      <c r="I601" s="2" t="n">
        <v>61.9</v>
      </c>
      <c r="K601" s="2" t="s">
        <v>23</v>
      </c>
      <c r="L601" s="2" t="s">
        <v>16</v>
      </c>
      <c r="M601" s="2" t="s">
        <v>20</v>
      </c>
      <c r="N601" s="2" t="n">
        <v>1</v>
      </c>
    </row>
    <row r="602" customFormat="false" ht="15" hidden="false" customHeight="false" outlineLevel="0" collapsed="false">
      <c r="A602" s="2" t="s">
        <v>14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1</v>
      </c>
      <c r="H602" s="2" t="n">
        <v>0</v>
      </c>
      <c r="I602" s="2" t="n">
        <v>41.7</v>
      </c>
      <c r="K602" s="2" t="s">
        <v>21</v>
      </c>
      <c r="L602" s="2" t="s">
        <v>16</v>
      </c>
      <c r="M602" s="2" t="s">
        <v>22</v>
      </c>
      <c r="N602" s="2" t="n">
        <v>2</v>
      </c>
    </row>
    <row r="603" customFormat="false" ht="15" hidden="false" customHeight="false" outlineLevel="0" collapsed="false">
      <c r="A603" s="2" t="s">
        <v>14</v>
      </c>
      <c r="B603" s="2" t="n">
        <v>1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87.6</v>
      </c>
      <c r="K603" s="2" t="s">
        <v>23</v>
      </c>
      <c r="L603" s="2" t="s">
        <v>16</v>
      </c>
      <c r="M603" s="2" t="s">
        <v>20</v>
      </c>
      <c r="N603" s="2" t="n">
        <v>0</v>
      </c>
    </row>
    <row r="604" customFormat="false" ht="15" hidden="false" customHeight="false" outlineLevel="0" collapsed="false">
      <c r="A604" s="2" t="s">
        <v>14</v>
      </c>
      <c r="B604" s="2" t="n">
        <v>1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30.8</v>
      </c>
      <c r="K604" s="2" t="s">
        <v>21</v>
      </c>
      <c r="L604" s="2" t="s">
        <v>19</v>
      </c>
      <c r="M604" s="2" t="s">
        <v>20</v>
      </c>
      <c r="N604" s="2" t="n">
        <v>0</v>
      </c>
    </row>
    <row r="605" customFormat="false" ht="15" hidden="false" customHeight="false" outlineLevel="0" collapsed="false">
      <c r="A605" s="2" t="s">
        <v>14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54</v>
      </c>
      <c r="K605" s="2" t="s">
        <v>15</v>
      </c>
      <c r="L605" s="2" t="s">
        <v>19</v>
      </c>
      <c r="M605" s="2" t="s">
        <v>20</v>
      </c>
      <c r="N605" s="2" t="n">
        <v>0</v>
      </c>
    </row>
    <row r="606" customFormat="false" ht="15" hidden="false" customHeight="false" outlineLevel="0" collapsed="false">
      <c r="A606" s="2" t="s">
        <v>14</v>
      </c>
      <c r="B606" s="2" t="n">
        <v>1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1</v>
      </c>
      <c r="H606" s="2" t="n">
        <v>0</v>
      </c>
      <c r="I606" s="2" t="n">
        <v>54.5</v>
      </c>
      <c r="K606" s="2" t="s">
        <v>21</v>
      </c>
      <c r="L606" s="2" t="s">
        <v>16</v>
      </c>
      <c r="M606" s="2" t="s">
        <v>17</v>
      </c>
      <c r="N606" s="2" t="n">
        <v>1</v>
      </c>
    </row>
    <row r="607" customFormat="false" ht="15" hidden="false" customHeight="false" outlineLevel="0" collapsed="false">
      <c r="A607" s="2" t="s">
        <v>14</v>
      </c>
      <c r="B607" s="2" t="n">
        <v>1</v>
      </c>
      <c r="C607" s="2" t="n">
        <v>1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61.3</v>
      </c>
      <c r="K607" s="2" t="s">
        <v>18</v>
      </c>
      <c r="L607" s="2" t="s">
        <v>19</v>
      </c>
      <c r="M607" s="2" t="s">
        <v>22</v>
      </c>
      <c r="N607" s="2" t="n">
        <v>0</v>
      </c>
    </row>
    <row r="608" customFormat="false" ht="15" hidden="false" customHeight="false" outlineLevel="0" collapsed="false">
      <c r="A608" s="2" t="s">
        <v>14</v>
      </c>
      <c r="B608" s="2" t="n">
        <v>1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62.7</v>
      </c>
      <c r="K608" s="2" t="s">
        <v>18</v>
      </c>
      <c r="L608" s="2" t="s">
        <v>19</v>
      </c>
      <c r="M608" s="2" t="s">
        <v>20</v>
      </c>
      <c r="N608" s="2" t="n">
        <v>0</v>
      </c>
    </row>
    <row r="609" customFormat="false" ht="15" hidden="false" customHeight="false" outlineLevel="0" collapsed="false">
      <c r="A609" s="2" t="s">
        <v>14</v>
      </c>
      <c r="B609" s="2" t="n">
        <v>1</v>
      </c>
      <c r="C609" s="2" t="n">
        <v>1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43.1</v>
      </c>
      <c r="K609" s="2" t="s">
        <v>23</v>
      </c>
      <c r="L609" s="2" t="s">
        <v>19</v>
      </c>
      <c r="M609" s="2" t="s">
        <v>20</v>
      </c>
      <c r="N609" s="2" t="n">
        <v>0</v>
      </c>
    </row>
    <row r="610" customFormat="false" ht="15" hidden="false" customHeight="false" outlineLevel="0" collapsed="false">
      <c r="A610" s="2" t="s">
        <v>14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59.9</v>
      </c>
      <c r="K610" s="2" t="s">
        <v>23</v>
      </c>
      <c r="L610" s="2" t="s">
        <v>16</v>
      </c>
      <c r="M610" s="2" t="s">
        <v>17</v>
      </c>
      <c r="N610" s="2" t="n">
        <v>0</v>
      </c>
    </row>
    <row r="611" customFormat="false" ht="15" hidden="false" customHeight="false" outlineLevel="0" collapsed="false">
      <c r="A611" s="2" t="s">
        <v>14</v>
      </c>
      <c r="B611" s="2" t="n">
        <v>1</v>
      </c>
      <c r="C611" s="2" t="n">
        <v>1</v>
      </c>
      <c r="D611" s="2" t="n">
        <v>1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55.7</v>
      </c>
      <c r="K611" s="2" t="s">
        <v>15</v>
      </c>
      <c r="L611" s="2" t="s">
        <v>24</v>
      </c>
      <c r="M611" s="2" t="s">
        <v>20</v>
      </c>
      <c r="N611" s="2" t="n">
        <v>0</v>
      </c>
    </row>
    <row r="612" customFormat="false" ht="15" hidden="false" customHeight="false" outlineLevel="0" collapsed="false">
      <c r="A612" s="2" t="s">
        <v>14</v>
      </c>
      <c r="B612" s="2" t="n">
        <v>1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37.1</v>
      </c>
      <c r="K612" s="2" t="s">
        <v>23</v>
      </c>
      <c r="L612" s="2" t="s">
        <v>16</v>
      </c>
      <c r="M612" s="2" t="s">
        <v>17</v>
      </c>
      <c r="N612" s="2" t="n">
        <v>0</v>
      </c>
    </row>
    <row r="613" customFormat="false" ht="15" hidden="false" customHeight="false" outlineLevel="0" collapsed="false">
      <c r="A613" s="2" t="s">
        <v>14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1</v>
      </c>
      <c r="H613" s="2" t="n">
        <v>0</v>
      </c>
      <c r="I613" s="2" t="n">
        <v>46.7</v>
      </c>
      <c r="K613" s="2" t="s">
        <v>21</v>
      </c>
      <c r="L613" s="2" t="s">
        <v>19</v>
      </c>
      <c r="M613" s="2" t="s">
        <v>17</v>
      </c>
      <c r="N613" s="2" t="n">
        <v>1</v>
      </c>
    </row>
    <row r="614" customFormat="false" ht="15" hidden="false" customHeight="false" outlineLevel="0" collapsed="false">
      <c r="A614" s="2" t="s">
        <v>14</v>
      </c>
      <c r="B614" s="2" t="n">
        <v>1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54.1</v>
      </c>
      <c r="K614" s="2" t="s">
        <v>23</v>
      </c>
      <c r="L614" s="2" t="s">
        <v>16</v>
      </c>
      <c r="M614" s="2" t="s">
        <v>17</v>
      </c>
      <c r="N614" s="2" t="n">
        <v>0</v>
      </c>
    </row>
    <row r="615" customFormat="false" ht="15" hidden="false" customHeight="false" outlineLevel="0" collapsed="false">
      <c r="A615" s="2" t="s">
        <v>14</v>
      </c>
      <c r="B615" s="2" t="n">
        <v>1</v>
      </c>
      <c r="C615" s="2" t="n">
        <v>1</v>
      </c>
      <c r="D615" s="2" t="n">
        <v>1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56.1</v>
      </c>
      <c r="K615" s="2" t="s">
        <v>18</v>
      </c>
      <c r="L615" s="2" t="s">
        <v>16</v>
      </c>
      <c r="M615" s="2" t="s">
        <v>22</v>
      </c>
      <c r="N615" s="2" t="n">
        <v>0</v>
      </c>
    </row>
    <row r="616" customFormat="false" ht="15" hidden="false" customHeight="false" outlineLevel="0" collapsed="false">
      <c r="A616" s="2" t="s">
        <v>14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23.6</v>
      </c>
      <c r="K616" s="2" t="s">
        <v>18</v>
      </c>
      <c r="L616" s="2" t="s">
        <v>19</v>
      </c>
      <c r="M616" s="2" t="s">
        <v>22</v>
      </c>
      <c r="N616" s="2" t="n">
        <v>0</v>
      </c>
    </row>
    <row r="617" customFormat="false" ht="15" hidden="false" customHeight="false" outlineLevel="0" collapsed="false">
      <c r="A617" s="2" t="s">
        <v>14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54.7</v>
      </c>
      <c r="K617" s="2" t="s">
        <v>15</v>
      </c>
      <c r="L617" s="2" t="s">
        <v>19</v>
      </c>
      <c r="M617" s="2" t="s">
        <v>22</v>
      </c>
      <c r="N617" s="2" t="n">
        <v>0</v>
      </c>
    </row>
    <row r="618" customFormat="false" ht="15" hidden="false" customHeight="false" outlineLevel="0" collapsed="false">
      <c r="A618" s="2" t="s">
        <v>14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1</v>
      </c>
      <c r="H618" s="2" t="n">
        <v>0</v>
      </c>
      <c r="I618" s="2" t="n">
        <v>50.4</v>
      </c>
      <c r="K618" s="2" t="s">
        <v>15</v>
      </c>
      <c r="L618" s="2" t="s">
        <v>19</v>
      </c>
      <c r="M618" s="2" t="s">
        <v>17</v>
      </c>
      <c r="N618" s="2" t="n">
        <v>2</v>
      </c>
    </row>
    <row r="619" customFormat="false" ht="15" hidden="false" customHeight="false" outlineLevel="0" collapsed="false">
      <c r="A619" s="2" t="s">
        <v>14</v>
      </c>
      <c r="B619" s="2" t="n">
        <v>1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54.5</v>
      </c>
      <c r="K619" s="2" t="s">
        <v>18</v>
      </c>
      <c r="L619" s="2" t="s">
        <v>19</v>
      </c>
      <c r="M619" s="2" t="s">
        <v>20</v>
      </c>
      <c r="N619" s="2" t="n">
        <v>0</v>
      </c>
    </row>
    <row r="620" customFormat="false" ht="15" hidden="false" customHeight="false" outlineLevel="0" collapsed="false">
      <c r="A620" s="2" t="s">
        <v>14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58</v>
      </c>
      <c r="K620" s="2" t="s">
        <v>18</v>
      </c>
      <c r="L620" s="2" t="s">
        <v>16</v>
      </c>
      <c r="M620" s="2" t="s">
        <v>17</v>
      </c>
      <c r="N620" s="2" t="n">
        <v>0</v>
      </c>
    </row>
    <row r="621" customFormat="false" ht="15" hidden="false" customHeight="false" outlineLevel="0" collapsed="false">
      <c r="A621" s="2" t="s">
        <v>14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42.9</v>
      </c>
      <c r="K621" s="2" t="s">
        <v>15</v>
      </c>
      <c r="L621" s="2" t="s">
        <v>19</v>
      </c>
      <c r="M621" s="2" t="s">
        <v>20</v>
      </c>
      <c r="N621" s="2" t="n">
        <v>0</v>
      </c>
    </row>
    <row r="622" customFormat="false" ht="15" hidden="false" customHeight="false" outlineLevel="0" collapsed="false">
      <c r="A622" s="2" t="s">
        <v>14</v>
      </c>
      <c r="B622" s="2" t="n">
        <v>1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51.1</v>
      </c>
      <c r="K622" s="2" t="s">
        <v>23</v>
      </c>
      <c r="L622" s="2" t="s">
        <v>19</v>
      </c>
      <c r="M622" s="2" t="s">
        <v>22</v>
      </c>
      <c r="N622" s="2" t="n">
        <v>0</v>
      </c>
    </row>
    <row r="623" customFormat="false" ht="15" hidden="false" customHeight="false" outlineLevel="0" collapsed="false">
      <c r="A623" s="2" t="s">
        <v>14</v>
      </c>
      <c r="B623" s="2" t="n">
        <v>1</v>
      </c>
      <c r="C623" s="2" t="n">
        <v>1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51.8</v>
      </c>
      <c r="K623" s="2" t="s">
        <v>21</v>
      </c>
      <c r="L623" s="2" t="s">
        <v>19</v>
      </c>
      <c r="M623" s="2" t="s">
        <v>17</v>
      </c>
      <c r="N623" s="2" t="n">
        <v>0</v>
      </c>
    </row>
    <row r="624" customFormat="false" ht="15" hidden="false" customHeight="false" outlineLevel="0" collapsed="false">
      <c r="A624" s="2" t="s">
        <v>14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67.7</v>
      </c>
      <c r="K624" s="2" t="s">
        <v>23</v>
      </c>
      <c r="L624" s="2" t="s">
        <v>19</v>
      </c>
      <c r="M624" s="2" t="s">
        <v>20</v>
      </c>
      <c r="N624" s="2" t="n">
        <v>0</v>
      </c>
    </row>
    <row r="625" customFormat="false" ht="15" hidden="false" customHeight="false" outlineLevel="0" collapsed="false">
      <c r="A625" s="2" t="s">
        <v>14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75.8</v>
      </c>
      <c r="K625" s="2" t="s">
        <v>21</v>
      </c>
      <c r="L625" s="2" t="s">
        <v>19</v>
      </c>
      <c r="M625" s="2" t="s">
        <v>17</v>
      </c>
      <c r="N625" s="2" t="n">
        <v>0</v>
      </c>
    </row>
    <row r="626" customFormat="false" ht="15" hidden="false" customHeight="false" outlineLevel="0" collapsed="false">
      <c r="A626" s="2" t="s">
        <v>14</v>
      </c>
      <c r="B626" s="2" t="n">
        <v>1</v>
      </c>
      <c r="C626" s="2" t="n">
        <v>1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72.8</v>
      </c>
      <c r="K626" s="2" t="s">
        <v>21</v>
      </c>
      <c r="L626" s="2" t="s">
        <v>19</v>
      </c>
      <c r="M626" s="2" t="s">
        <v>20</v>
      </c>
      <c r="N626" s="2" t="n">
        <v>0</v>
      </c>
    </row>
    <row r="627" customFormat="false" ht="15" hidden="false" customHeight="false" outlineLevel="0" collapsed="false">
      <c r="A627" s="2" t="s">
        <v>14</v>
      </c>
      <c r="B627" s="2" t="n">
        <v>1</v>
      </c>
      <c r="C627" s="2" t="n">
        <v>1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54.4</v>
      </c>
      <c r="K627" s="2" t="s">
        <v>15</v>
      </c>
      <c r="L627" s="2" t="s">
        <v>16</v>
      </c>
      <c r="M627" s="2" t="s">
        <v>20</v>
      </c>
      <c r="N627" s="2" t="n">
        <v>0</v>
      </c>
    </row>
    <row r="628" customFormat="false" ht="15" hidden="false" customHeight="false" outlineLevel="0" collapsed="false">
      <c r="A628" s="2" t="s">
        <v>14</v>
      </c>
      <c r="B628" s="2" t="n">
        <v>1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51.8</v>
      </c>
      <c r="K628" s="2" t="s">
        <v>18</v>
      </c>
      <c r="L628" s="2" t="s">
        <v>19</v>
      </c>
      <c r="M628" s="2" t="s">
        <v>17</v>
      </c>
      <c r="N628" s="2" t="n">
        <v>0</v>
      </c>
    </row>
    <row r="629" customFormat="false" ht="15" hidden="false" customHeight="false" outlineLevel="0" collapsed="false">
      <c r="A629" s="2" t="s">
        <v>14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40.3</v>
      </c>
      <c r="K629" s="2" t="s">
        <v>23</v>
      </c>
      <c r="L629" s="2" t="s">
        <v>19</v>
      </c>
      <c r="M629" s="2" t="s">
        <v>20</v>
      </c>
      <c r="N629" s="2" t="n">
        <v>0</v>
      </c>
    </row>
    <row r="630" customFormat="false" ht="15" hidden="false" customHeight="false" outlineLevel="0" collapsed="false">
      <c r="A630" s="2" t="s">
        <v>14</v>
      </c>
      <c r="B630" s="2" t="n">
        <v>1</v>
      </c>
      <c r="C630" s="2" t="n">
        <v>1</v>
      </c>
      <c r="D630" s="2" t="n">
        <v>1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61.7</v>
      </c>
      <c r="K630" s="2" t="s">
        <v>23</v>
      </c>
      <c r="L630" s="2" t="s">
        <v>19</v>
      </c>
      <c r="M630" s="2" t="s">
        <v>20</v>
      </c>
      <c r="N630" s="2" t="n">
        <v>0</v>
      </c>
    </row>
    <row r="631" customFormat="false" ht="15" hidden="false" customHeight="false" outlineLevel="0" collapsed="false">
      <c r="A631" s="2" t="s">
        <v>14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45</v>
      </c>
      <c r="K631" s="2" t="s">
        <v>15</v>
      </c>
      <c r="L631" s="2" t="s">
        <v>19</v>
      </c>
      <c r="M631" s="2" t="s">
        <v>20</v>
      </c>
      <c r="N631" s="2" t="n">
        <v>0</v>
      </c>
    </row>
    <row r="632" customFormat="false" ht="15" hidden="false" customHeight="false" outlineLevel="0" collapsed="false">
      <c r="A632" s="2" t="s">
        <v>14</v>
      </c>
      <c r="B632" s="2" t="n">
        <v>1</v>
      </c>
      <c r="C632" s="2" t="n">
        <v>1</v>
      </c>
      <c r="D632" s="2" t="n">
        <v>1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60</v>
      </c>
      <c r="K632" s="2" t="s">
        <v>21</v>
      </c>
      <c r="L632" s="2" t="s">
        <v>16</v>
      </c>
      <c r="M632" s="2" t="s">
        <v>22</v>
      </c>
      <c r="N632" s="2" t="n">
        <v>0</v>
      </c>
    </row>
    <row r="633" customFormat="false" ht="15" hidden="false" customHeight="false" outlineLevel="0" collapsed="false">
      <c r="A633" s="2" t="s">
        <v>14</v>
      </c>
      <c r="B633" s="2" t="n">
        <v>1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K633" s="2" t="s">
        <v>15</v>
      </c>
      <c r="L633" s="2" t="s">
        <v>19</v>
      </c>
      <c r="M633" s="2" t="s">
        <v>20</v>
      </c>
      <c r="N633" s="2" t="n">
        <v>0</v>
      </c>
    </row>
    <row r="634" customFormat="false" ht="15" hidden="false" customHeight="false" outlineLevel="0" collapsed="false">
      <c r="A634" s="2" t="s">
        <v>14</v>
      </c>
      <c r="B634" s="2" t="n">
        <v>1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55.5</v>
      </c>
      <c r="K634" s="2" t="s">
        <v>21</v>
      </c>
      <c r="L634" s="2" t="s">
        <v>19</v>
      </c>
      <c r="M634" s="2" t="s">
        <v>20</v>
      </c>
      <c r="N634" s="2" t="n">
        <v>0</v>
      </c>
    </row>
    <row r="635" customFormat="false" ht="15" hidden="false" customHeight="false" outlineLevel="0" collapsed="false">
      <c r="A635" s="2" t="s">
        <v>14</v>
      </c>
      <c r="B635" s="2" t="n">
        <v>0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51.8</v>
      </c>
      <c r="K635" s="2" t="s">
        <v>23</v>
      </c>
      <c r="L635" s="2" t="s">
        <v>19</v>
      </c>
      <c r="M635" s="2" t="s">
        <v>17</v>
      </c>
      <c r="N635" s="2" t="n">
        <v>0</v>
      </c>
    </row>
    <row r="636" customFormat="false" ht="15" hidden="false" customHeight="false" outlineLevel="0" collapsed="false">
      <c r="A636" s="2" t="s">
        <v>14</v>
      </c>
      <c r="B636" s="2" t="n">
        <v>1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1</v>
      </c>
      <c r="H636" s="2" t="n">
        <v>0</v>
      </c>
      <c r="I636" s="2" t="n">
        <v>56</v>
      </c>
      <c r="K636" s="2" t="s">
        <v>21</v>
      </c>
      <c r="L636" s="2" t="s">
        <v>19</v>
      </c>
      <c r="M636" s="2" t="s">
        <v>22</v>
      </c>
      <c r="N636" s="2" t="n">
        <v>3</v>
      </c>
    </row>
    <row r="637" customFormat="false" ht="15" hidden="false" customHeight="false" outlineLevel="0" collapsed="false">
      <c r="A637" s="2" t="s">
        <v>14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52.5</v>
      </c>
      <c r="K637" s="2" t="s">
        <v>18</v>
      </c>
      <c r="L637" s="2" t="s">
        <v>19</v>
      </c>
      <c r="M637" s="2" t="s">
        <v>20</v>
      </c>
      <c r="N637" s="2" t="n">
        <v>0</v>
      </c>
    </row>
    <row r="638" customFormat="false" ht="15" hidden="false" customHeight="false" outlineLevel="0" collapsed="false">
      <c r="A638" s="2" t="s">
        <v>14</v>
      </c>
      <c r="B638" s="2" t="n">
        <v>1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42.5</v>
      </c>
      <c r="K638" s="2" t="s">
        <v>18</v>
      </c>
      <c r="L638" s="2" t="s">
        <v>19</v>
      </c>
      <c r="M638" s="2" t="s">
        <v>22</v>
      </c>
      <c r="N638" s="2" t="n">
        <v>0</v>
      </c>
    </row>
    <row r="639" customFormat="false" ht="15" hidden="false" customHeight="false" outlineLevel="0" collapsed="false">
      <c r="A639" s="2" t="s">
        <v>14</v>
      </c>
      <c r="B639" s="2" t="n">
        <v>1</v>
      </c>
      <c r="C639" s="2" t="n">
        <v>1</v>
      </c>
      <c r="D639" s="2" t="n">
        <v>1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65.3</v>
      </c>
      <c r="K639" s="2" t="s">
        <v>21</v>
      </c>
      <c r="L639" s="2" t="s">
        <v>16</v>
      </c>
      <c r="M639" s="2" t="s">
        <v>20</v>
      </c>
      <c r="N639" s="2" t="n">
        <v>0</v>
      </c>
    </row>
    <row r="640" customFormat="false" ht="15" hidden="false" customHeight="false" outlineLevel="0" collapsed="false">
      <c r="A640" s="2" t="s">
        <v>14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37.6</v>
      </c>
      <c r="K640" s="2" t="s">
        <v>18</v>
      </c>
      <c r="L640" s="2" t="s">
        <v>19</v>
      </c>
      <c r="M640" s="2" t="s">
        <v>20</v>
      </c>
      <c r="N640" s="2" t="n">
        <v>0</v>
      </c>
    </row>
    <row r="641" customFormat="false" ht="15" hidden="false" customHeight="false" outlineLevel="0" collapsed="false">
      <c r="A641" s="2" t="s">
        <v>14</v>
      </c>
      <c r="B641" s="2" t="n">
        <v>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57.8</v>
      </c>
      <c r="K641" s="2" t="s">
        <v>21</v>
      </c>
      <c r="L641" s="2" t="s">
        <v>19</v>
      </c>
      <c r="M641" s="2" t="s">
        <v>17</v>
      </c>
      <c r="N641" s="2" t="n">
        <v>0</v>
      </c>
    </row>
    <row r="642" customFormat="false" ht="15" hidden="false" customHeight="false" outlineLevel="0" collapsed="false">
      <c r="A642" s="2" t="s">
        <v>14</v>
      </c>
      <c r="B642" s="2" t="n">
        <v>1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52.7</v>
      </c>
      <c r="K642" s="2" t="s">
        <v>15</v>
      </c>
      <c r="L642" s="2" t="s">
        <v>19</v>
      </c>
      <c r="M642" s="2" t="s">
        <v>20</v>
      </c>
      <c r="N642" s="2" t="n">
        <v>0</v>
      </c>
    </row>
    <row r="643" customFormat="false" ht="15" hidden="false" customHeight="false" outlineLevel="0" collapsed="false">
      <c r="A643" s="2" t="s">
        <v>14</v>
      </c>
      <c r="B643" s="2" t="n">
        <v>1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51.7</v>
      </c>
      <c r="K643" s="2" t="s">
        <v>15</v>
      </c>
      <c r="L643" s="2" t="s">
        <v>19</v>
      </c>
      <c r="M643" s="2" t="s">
        <v>20</v>
      </c>
      <c r="N643" s="2" t="n">
        <v>0</v>
      </c>
    </row>
    <row r="644" customFormat="false" ht="15" hidden="false" customHeight="false" outlineLevel="0" collapsed="false">
      <c r="A644" s="2" t="s">
        <v>14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57</v>
      </c>
      <c r="K644" s="2" t="s">
        <v>15</v>
      </c>
      <c r="L644" s="2" t="s">
        <v>16</v>
      </c>
      <c r="M644" s="2" t="s">
        <v>17</v>
      </c>
      <c r="N644" s="2" t="n">
        <v>0</v>
      </c>
    </row>
    <row r="645" customFormat="false" ht="15" hidden="false" customHeight="false" outlineLevel="0" collapsed="false">
      <c r="A645" s="2" t="s">
        <v>14</v>
      </c>
      <c r="B645" s="2" t="n">
        <v>0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39.5</v>
      </c>
      <c r="K645" s="2" t="s">
        <v>23</v>
      </c>
      <c r="L645" s="2" t="s">
        <v>16</v>
      </c>
      <c r="M645" s="2" t="s">
        <v>17</v>
      </c>
      <c r="N645" s="2" t="n">
        <v>0</v>
      </c>
    </row>
    <row r="646" customFormat="false" ht="15" hidden="false" customHeight="false" outlineLevel="0" collapsed="false">
      <c r="A646" s="2" t="s">
        <v>14</v>
      </c>
      <c r="B646" s="2" t="n">
        <v>1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76.5</v>
      </c>
      <c r="K646" s="2" t="s">
        <v>21</v>
      </c>
      <c r="L646" s="2" t="s">
        <v>24</v>
      </c>
      <c r="M646" s="2" t="s">
        <v>20</v>
      </c>
      <c r="N646" s="2" t="n">
        <v>0</v>
      </c>
    </row>
    <row r="647" customFormat="false" ht="15" hidden="false" customHeight="false" outlineLevel="0" collapsed="false">
      <c r="A647" s="2" t="s">
        <v>14</v>
      </c>
      <c r="B647" s="2" t="n">
        <v>1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32.4</v>
      </c>
      <c r="K647" s="2" t="s">
        <v>21</v>
      </c>
      <c r="L647" s="2" t="s">
        <v>19</v>
      </c>
      <c r="M647" s="2" t="s">
        <v>20</v>
      </c>
      <c r="N647" s="2" t="n">
        <v>0</v>
      </c>
    </row>
    <row r="648" customFormat="false" ht="15" hidden="false" customHeight="false" outlineLevel="0" collapsed="false">
      <c r="A648" s="2" t="s">
        <v>14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58.6</v>
      </c>
      <c r="K648" s="2" t="s">
        <v>15</v>
      </c>
      <c r="L648" s="2" t="s">
        <v>16</v>
      </c>
      <c r="M648" s="2" t="s">
        <v>20</v>
      </c>
      <c r="N648" s="2" t="n">
        <v>0</v>
      </c>
    </row>
    <row r="649" customFormat="false" ht="15" hidden="false" customHeight="false" outlineLevel="0" collapsed="false">
      <c r="A649" s="2" t="s">
        <v>14</v>
      </c>
      <c r="B649" s="2" t="n">
        <v>1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78.6</v>
      </c>
      <c r="K649" s="2" t="s">
        <v>21</v>
      </c>
      <c r="L649" s="2" t="s">
        <v>19</v>
      </c>
      <c r="M649" s="2" t="s">
        <v>17</v>
      </c>
      <c r="N649" s="2" t="n">
        <v>0</v>
      </c>
    </row>
    <row r="650" customFormat="false" ht="15" hidden="false" customHeight="false" outlineLevel="0" collapsed="false">
      <c r="A650" s="2" t="s">
        <v>14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54.5</v>
      </c>
      <c r="K650" s="2" t="s">
        <v>15</v>
      </c>
      <c r="L650" s="2" t="s">
        <v>16</v>
      </c>
      <c r="M650" s="2" t="s">
        <v>22</v>
      </c>
      <c r="N650" s="2" t="n">
        <v>0</v>
      </c>
    </row>
    <row r="651" customFormat="false" ht="15" hidden="false" customHeight="false" outlineLevel="0" collapsed="false">
      <c r="A651" s="2" t="s">
        <v>14</v>
      </c>
      <c r="B651" s="2" t="n">
        <v>1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57.6</v>
      </c>
      <c r="K651" s="2" t="s">
        <v>23</v>
      </c>
      <c r="L651" s="2" t="s">
        <v>19</v>
      </c>
      <c r="M651" s="2" t="s">
        <v>20</v>
      </c>
      <c r="N651" s="2" t="n">
        <v>0</v>
      </c>
    </row>
    <row r="652" customFormat="false" ht="15" hidden="false" customHeight="false" outlineLevel="0" collapsed="false">
      <c r="A652" s="2" t="s">
        <v>14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52.8</v>
      </c>
      <c r="K652" s="2" t="s">
        <v>23</v>
      </c>
      <c r="L652" s="2" t="s">
        <v>19</v>
      </c>
      <c r="M652" s="2" t="s">
        <v>22</v>
      </c>
      <c r="N652" s="2" t="n">
        <v>0</v>
      </c>
    </row>
    <row r="653" customFormat="false" ht="15" hidden="false" customHeight="false" outlineLevel="0" collapsed="false">
      <c r="A653" s="2" t="s">
        <v>14</v>
      </c>
      <c r="B653" s="2" t="n">
        <v>1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52.9</v>
      </c>
      <c r="K653" s="2" t="s">
        <v>18</v>
      </c>
      <c r="L653" s="2" t="s">
        <v>19</v>
      </c>
      <c r="M653" s="2" t="s">
        <v>22</v>
      </c>
      <c r="N653" s="2" t="n">
        <v>0</v>
      </c>
    </row>
    <row r="654" customFormat="false" ht="15" hidden="false" customHeight="false" outlineLevel="0" collapsed="false">
      <c r="A654" s="2" t="s">
        <v>14</v>
      </c>
      <c r="B654" s="2" t="n">
        <v>1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1</v>
      </c>
      <c r="H654" s="2" t="n">
        <v>0</v>
      </c>
      <c r="I654" s="2" t="n">
        <v>55.9</v>
      </c>
      <c r="K654" s="2" t="s">
        <v>18</v>
      </c>
      <c r="L654" s="2" t="s">
        <v>19</v>
      </c>
      <c r="M654" s="2" t="s">
        <v>20</v>
      </c>
      <c r="N654" s="2" t="n">
        <v>1</v>
      </c>
    </row>
    <row r="655" customFormat="false" ht="15" hidden="false" customHeight="false" outlineLevel="0" collapsed="false">
      <c r="A655" s="2" t="s">
        <v>14</v>
      </c>
      <c r="B655" s="2" t="n">
        <v>1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74.2</v>
      </c>
      <c r="K655" s="2" t="s">
        <v>18</v>
      </c>
      <c r="L655" s="2" t="s">
        <v>19</v>
      </c>
      <c r="M655" s="2" t="s">
        <v>22</v>
      </c>
      <c r="N655" s="2" t="n">
        <v>0</v>
      </c>
    </row>
    <row r="656" customFormat="false" ht="15" hidden="false" customHeight="false" outlineLevel="0" collapsed="false">
      <c r="A656" s="2" t="s">
        <v>14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46.3</v>
      </c>
      <c r="K656" s="2" t="s">
        <v>18</v>
      </c>
      <c r="L656" s="2" t="s">
        <v>19</v>
      </c>
      <c r="M656" s="2" t="s">
        <v>20</v>
      </c>
      <c r="N656" s="2" t="n">
        <v>0</v>
      </c>
    </row>
    <row r="657" customFormat="false" ht="15" hidden="false" customHeight="false" outlineLevel="0" collapsed="false">
      <c r="A657" s="2" t="s">
        <v>14</v>
      </c>
      <c r="B657" s="2" t="n">
        <v>1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62</v>
      </c>
      <c r="K657" s="2" t="s">
        <v>18</v>
      </c>
      <c r="L657" s="2" t="s">
        <v>19</v>
      </c>
      <c r="M657" s="2" t="s">
        <v>22</v>
      </c>
      <c r="N657" s="2" t="n">
        <v>0</v>
      </c>
    </row>
    <row r="658" customFormat="false" ht="15" hidden="false" customHeight="false" outlineLevel="0" collapsed="false">
      <c r="A658" s="2" t="s">
        <v>14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55.6</v>
      </c>
      <c r="K658" s="2" t="s">
        <v>23</v>
      </c>
      <c r="L658" s="2" t="s">
        <v>19</v>
      </c>
      <c r="M658" s="2" t="s">
        <v>17</v>
      </c>
      <c r="N658" s="2" t="n">
        <v>0</v>
      </c>
    </row>
    <row r="659" customFormat="false" ht="15" hidden="false" customHeight="false" outlineLevel="0" collapsed="false">
      <c r="A659" s="2" t="s">
        <v>14</v>
      </c>
      <c r="B659" s="2" t="n">
        <v>1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62.8</v>
      </c>
      <c r="K659" s="2" t="s">
        <v>23</v>
      </c>
      <c r="L659" s="2" t="s">
        <v>19</v>
      </c>
      <c r="M659" s="2" t="s">
        <v>17</v>
      </c>
      <c r="N659" s="2" t="n">
        <v>0</v>
      </c>
    </row>
    <row r="660" customFormat="false" ht="15" hidden="false" customHeight="false" outlineLevel="0" collapsed="false">
      <c r="A660" s="2" t="s">
        <v>14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73.1</v>
      </c>
      <c r="K660" s="2" t="s">
        <v>21</v>
      </c>
      <c r="L660" s="2" t="s">
        <v>19</v>
      </c>
      <c r="M660" s="2" t="s">
        <v>20</v>
      </c>
      <c r="N660" s="2" t="n">
        <v>0</v>
      </c>
    </row>
    <row r="661" customFormat="false" ht="15" hidden="false" customHeight="false" outlineLevel="0" collapsed="false">
      <c r="A661" s="2" t="s">
        <v>14</v>
      </c>
      <c r="B661" s="2" t="n">
        <v>1</v>
      </c>
      <c r="C661" s="2" t="n">
        <v>1</v>
      </c>
      <c r="D661" s="2" t="n">
        <v>1</v>
      </c>
      <c r="E661" s="2" t="n">
        <v>1</v>
      </c>
      <c r="F661" s="2" t="n">
        <v>347.52</v>
      </c>
      <c r="G661" s="2" t="n">
        <v>0</v>
      </c>
      <c r="H661" s="2" t="n">
        <v>0</v>
      </c>
      <c r="I661" s="2" t="n">
        <v>57.2</v>
      </c>
      <c r="J661" s="2" t="n">
        <v>2</v>
      </c>
      <c r="K661" s="2" t="s">
        <v>23</v>
      </c>
      <c r="L661" s="2" t="s">
        <v>16</v>
      </c>
      <c r="M661" s="2" t="s">
        <v>20</v>
      </c>
      <c r="N661" s="2" t="n">
        <v>0</v>
      </c>
    </row>
    <row r="662" customFormat="false" ht="15" hidden="false" customHeight="false" outlineLevel="0" collapsed="false">
      <c r="A662" s="2" t="s">
        <v>14</v>
      </c>
      <c r="B662" s="2" t="n">
        <v>1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67.9</v>
      </c>
      <c r="K662" s="2" t="s">
        <v>23</v>
      </c>
      <c r="L662" s="2" t="s">
        <v>19</v>
      </c>
      <c r="M662" s="2" t="s">
        <v>20</v>
      </c>
      <c r="N662" s="2" t="n">
        <v>0</v>
      </c>
    </row>
    <row r="663" customFormat="false" ht="15" hidden="false" customHeight="false" outlineLevel="0" collapsed="false">
      <c r="A663" s="2" t="s">
        <v>14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50.1</v>
      </c>
      <c r="K663" s="2" t="s">
        <v>23</v>
      </c>
      <c r="L663" s="2" t="s">
        <v>19</v>
      </c>
      <c r="M663" s="2" t="s">
        <v>20</v>
      </c>
      <c r="N663" s="2" t="n">
        <v>0</v>
      </c>
    </row>
    <row r="664" customFormat="false" ht="15" hidden="false" customHeight="false" outlineLevel="0" collapsed="false">
      <c r="A664" s="2" t="s">
        <v>14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67.8</v>
      </c>
      <c r="K664" s="2" t="s">
        <v>15</v>
      </c>
      <c r="L664" s="2" t="s">
        <v>19</v>
      </c>
      <c r="M664" s="2" t="s">
        <v>17</v>
      </c>
      <c r="N664" s="2" t="n">
        <v>0</v>
      </c>
    </row>
    <row r="665" customFormat="false" ht="15" hidden="false" customHeight="false" outlineLevel="0" collapsed="false">
      <c r="A665" s="2" t="s">
        <v>14</v>
      </c>
      <c r="B665" s="2" t="n">
        <v>1</v>
      </c>
      <c r="C665" s="2" t="n">
        <v>1</v>
      </c>
      <c r="D665" s="2" t="n">
        <v>1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60.8</v>
      </c>
      <c r="K665" s="2" t="s">
        <v>15</v>
      </c>
      <c r="L665" s="2" t="s">
        <v>16</v>
      </c>
      <c r="M665" s="2" t="s">
        <v>17</v>
      </c>
      <c r="N665" s="2" t="n">
        <v>0</v>
      </c>
    </row>
    <row r="666" customFormat="false" ht="15" hidden="false" customHeight="false" outlineLevel="0" collapsed="false">
      <c r="A666" s="2" t="s">
        <v>14</v>
      </c>
      <c r="B666" s="2" t="n">
        <v>1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1</v>
      </c>
      <c r="H666" s="2" t="n">
        <v>0</v>
      </c>
      <c r="I666" s="2" t="n">
        <v>33.7</v>
      </c>
      <c r="K666" s="2" t="s">
        <v>15</v>
      </c>
      <c r="L666" s="2" t="s">
        <v>16</v>
      </c>
      <c r="M666" s="2" t="s">
        <v>17</v>
      </c>
      <c r="N666" s="2" t="n">
        <v>3</v>
      </c>
    </row>
    <row r="667" customFormat="false" ht="15" hidden="false" customHeight="false" outlineLevel="0" collapsed="false">
      <c r="A667" s="2" t="s">
        <v>14</v>
      </c>
      <c r="B667" s="2" t="n">
        <v>0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45.2</v>
      </c>
      <c r="K667" s="2" t="s">
        <v>15</v>
      </c>
      <c r="L667" s="2" t="s">
        <v>19</v>
      </c>
      <c r="M667" s="2" t="s">
        <v>17</v>
      </c>
      <c r="N667" s="2" t="n">
        <v>0</v>
      </c>
    </row>
    <row r="668" customFormat="false" ht="15" hidden="false" customHeight="false" outlineLevel="0" collapsed="false">
      <c r="A668" s="2" t="s">
        <v>14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48.2</v>
      </c>
      <c r="K668" s="2" t="s">
        <v>21</v>
      </c>
      <c r="L668" s="2" t="s">
        <v>16</v>
      </c>
      <c r="M668" s="2" t="s">
        <v>22</v>
      </c>
      <c r="N668" s="2" t="n">
        <v>0</v>
      </c>
    </row>
    <row r="669" customFormat="false" ht="15" hidden="false" customHeight="false" outlineLevel="0" collapsed="false">
      <c r="A669" s="2" t="s">
        <v>14</v>
      </c>
      <c r="B669" s="2" t="n">
        <v>1</v>
      </c>
      <c r="C669" s="2" t="n">
        <v>1</v>
      </c>
      <c r="D669" s="2" t="n">
        <v>0</v>
      </c>
      <c r="E669" s="2" t="n">
        <v>0</v>
      </c>
      <c r="F669" s="2" t="n">
        <v>0</v>
      </c>
      <c r="G669" s="2" t="n">
        <v>1</v>
      </c>
      <c r="H669" s="2" t="n">
        <v>0</v>
      </c>
      <c r="I669" s="2" t="n">
        <v>44.8</v>
      </c>
      <c r="K669" s="2" t="s">
        <v>23</v>
      </c>
      <c r="L669" s="2" t="s">
        <v>19</v>
      </c>
      <c r="M669" s="2" t="s">
        <v>20</v>
      </c>
      <c r="N669" s="2" t="n">
        <v>1</v>
      </c>
    </row>
    <row r="670" customFormat="false" ht="15" hidden="false" customHeight="false" outlineLevel="0" collapsed="false">
      <c r="A670" s="2" t="s">
        <v>14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52.1</v>
      </c>
      <c r="K670" s="2" t="s">
        <v>15</v>
      </c>
      <c r="L670" s="2" t="s">
        <v>24</v>
      </c>
      <c r="M670" s="2" t="s">
        <v>17</v>
      </c>
      <c r="N670" s="2" t="n">
        <v>0</v>
      </c>
    </row>
    <row r="671" customFormat="false" ht="15" hidden="false" customHeight="false" outlineLevel="0" collapsed="false">
      <c r="A671" s="2" t="s">
        <v>14</v>
      </c>
      <c r="B671" s="2" t="n">
        <v>1</v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30.7</v>
      </c>
      <c r="K671" s="2" t="s">
        <v>15</v>
      </c>
      <c r="L671" s="2" t="s">
        <v>16</v>
      </c>
      <c r="M671" s="2" t="s">
        <v>17</v>
      </c>
      <c r="N671" s="2" t="n">
        <v>0</v>
      </c>
    </row>
    <row r="672" customFormat="false" ht="15" hidden="false" customHeight="false" outlineLevel="0" collapsed="false">
      <c r="A672" s="2" t="s">
        <v>14</v>
      </c>
      <c r="B672" s="2" t="n">
        <v>1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58.4</v>
      </c>
      <c r="K672" s="2" t="s">
        <v>21</v>
      </c>
      <c r="L672" s="2" t="s">
        <v>16</v>
      </c>
      <c r="M672" s="2" t="s">
        <v>20</v>
      </c>
      <c r="N672" s="2" t="n">
        <v>0</v>
      </c>
    </row>
    <row r="673" customFormat="false" ht="15" hidden="false" customHeight="false" outlineLevel="0" collapsed="false">
      <c r="A673" s="2" t="s">
        <v>14</v>
      </c>
      <c r="B673" s="2" t="n">
        <v>1</v>
      </c>
      <c r="C673" s="2" t="n">
        <v>1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52.6</v>
      </c>
      <c r="K673" s="2" t="s">
        <v>18</v>
      </c>
      <c r="L673" s="2" t="s">
        <v>19</v>
      </c>
      <c r="M673" s="2" t="s">
        <v>20</v>
      </c>
      <c r="N673" s="2" t="n">
        <v>0</v>
      </c>
    </row>
    <row r="674" customFormat="false" ht="15" hidden="false" customHeight="false" outlineLevel="0" collapsed="false">
      <c r="A674" s="2" t="s">
        <v>14</v>
      </c>
      <c r="B674" s="2" t="n">
        <v>1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1</v>
      </c>
      <c r="H674" s="2" t="n">
        <v>0</v>
      </c>
      <c r="I674" s="2" t="n">
        <v>19.1</v>
      </c>
      <c r="K674" s="2" t="s">
        <v>18</v>
      </c>
      <c r="L674" s="2" t="s">
        <v>25</v>
      </c>
      <c r="M674" s="2" t="s">
        <v>20</v>
      </c>
      <c r="N674" s="2" t="n">
        <v>1</v>
      </c>
    </row>
    <row r="675" customFormat="false" ht="15" hidden="false" customHeight="false" outlineLevel="0" collapsed="false">
      <c r="A675" s="2" t="s">
        <v>14</v>
      </c>
      <c r="B675" s="2" t="n">
        <v>1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36.8</v>
      </c>
      <c r="K675" s="2" t="s">
        <v>23</v>
      </c>
      <c r="L675" s="2" t="s">
        <v>25</v>
      </c>
      <c r="M675" s="2" t="s">
        <v>20</v>
      </c>
      <c r="N675" s="2" t="n">
        <v>0</v>
      </c>
    </row>
    <row r="676" customFormat="false" ht="15" hidden="false" customHeight="false" outlineLevel="0" collapsed="false">
      <c r="A676" s="2" t="s">
        <v>14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68.5</v>
      </c>
      <c r="K676" s="2" t="s">
        <v>15</v>
      </c>
      <c r="L676" s="2" t="s">
        <v>16</v>
      </c>
      <c r="M676" s="2" t="s">
        <v>17</v>
      </c>
      <c r="N676" s="2" t="n">
        <v>0</v>
      </c>
    </row>
    <row r="677" customFormat="false" ht="15" hidden="false" customHeight="false" outlineLevel="0" collapsed="false">
      <c r="A677" s="2" t="s">
        <v>14</v>
      </c>
      <c r="B677" s="2" t="n">
        <v>1</v>
      </c>
      <c r="C677" s="2" t="n">
        <v>1</v>
      </c>
      <c r="D677" s="2" t="n">
        <v>1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40.1</v>
      </c>
      <c r="K677" s="2" t="s">
        <v>18</v>
      </c>
      <c r="L677" s="2" t="s">
        <v>19</v>
      </c>
      <c r="M677" s="2" t="s">
        <v>20</v>
      </c>
      <c r="N677" s="2" t="n">
        <v>0</v>
      </c>
    </row>
    <row r="678" customFormat="false" ht="15" hidden="false" customHeight="false" outlineLevel="0" collapsed="false">
      <c r="A678" s="2" t="s">
        <v>14</v>
      </c>
      <c r="B678" s="2" t="n">
        <v>1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47.5</v>
      </c>
      <c r="K678" s="2" t="s">
        <v>18</v>
      </c>
      <c r="L678" s="2" t="s">
        <v>24</v>
      </c>
      <c r="M678" s="2" t="s">
        <v>20</v>
      </c>
      <c r="N678" s="2" t="n">
        <v>0</v>
      </c>
    </row>
    <row r="679" customFormat="false" ht="15" hidden="false" customHeight="false" outlineLevel="0" collapsed="false">
      <c r="A679" s="2" t="s">
        <v>14</v>
      </c>
      <c r="B679" s="2" t="n">
        <v>1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77.1</v>
      </c>
      <c r="K679" s="2" t="s">
        <v>23</v>
      </c>
      <c r="L679" s="2" t="s">
        <v>19</v>
      </c>
      <c r="M679" s="2" t="s">
        <v>17</v>
      </c>
      <c r="N679" s="2" t="n">
        <v>0</v>
      </c>
    </row>
    <row r="680" customFormat="false" ht="15" hidden="false" customHeight="false" outlineLevel="0" collapsed="false">
      <c r="A680" s="2" t="s">
        <v>14</v>
      </c>
      <c r="B680" s="2" t="n">
        <v>1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75.9</v>
      </c>
      <c r="K680" s="2" t="s">
        <v>18</v>
      </c>
      <c r="L680" s="2" t="s">
        <v>19</v>
      </c>
      <c r="M680" s="2" t="s">
        <v>17</v>
      </c>
      <c r="N680" s="2" t="n">
        <v>0</v>
      </c>
    </row>
    <row r="681" customFormat="false" ht="15" hidden="false" customHeight="false" outlineLevel="0" collapsed="false">
      <c r="A681" s="2" t="s">
        <v>14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1</v>
      </c>
      <c r="H681" s="2" t="n">
        <v>0</v>
      </c>
      <c r="I681" s="2" t="n">
        <v>52</v>
      </c>
      <c r="K681" s="2" t="s">
        <v>15</v>
      </c>
      <c r="L681" s="2" t="s">
        <v>16</v>
      </c>
      <c r="M681" s="2" t="s">
        <v>22</v>
      </c>
      <c r="N681" s="2" t="n">
        <v>1</v>
      </c>
    </row>
    <row r="682" customFormat="false" ht="15" hidden="false" customHeight="false" outlineLevel="0" collapsed="false">
      <c r="A682" s="2" t="s">
        <v>14</v>
      </c>
      <c r="B682" s="2" t="n">
        <v>1</v>
      </c>
      <c r="C682" s="2" t="n">
        <v>1</v>
      </c>
      <c r="D682" s="2" t="n">
        <v>1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64.9</v>
      </c>
      <c r="K682" s="2" t="s">
        <v>18</v>
      </c>
      <c r="L682" s="2" t="s">
        <v>16</v>
      </c>
      <c r="M682" s="2" t="s">
        <v>22</v>
      </c>
      <c r="N682" s="2" t="n">
        <v>0</v>
      </c>
    </row>
    <row r="683" customFormat="false" ht="15" hidden="false" customHeight="false" outlineLevel="0" collapsed="false">
      <c r="A683" s="2" t="s">
        <v>14</v>
      </c>
      <c r="B683" s="2" t="n">
        <v>1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48.2</v>
      </c>
      <c r="K683" s="2" t="s">
        <v>15</v>
      </c>
      <c r="L683" s="2" t="s">
        <v>19</v>
      </c>
      <c r="M683" s="2" t="s">
        <v>20</v>
      </c>
      <c r="N683" s="2" t="n">
        <v>0</v>
      </c>
    </row>
    <row r="684" customFormat="false" ht="15" hidden="false" customHeight="false" outlineLevel="0" collapsed="false">
      <c r="A684" s="2" t="s">
        <v>14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42.1</v>
      </c>
      <c r="K684" s="2" t="s">
        <v>21</v>
      </c>
      <c r="L684" s="2" t="s">
        <v>19</v>
      </c>
      <c r="M684" s="2" t="s">
        <v>17</v>
      </c>
      <c r="N684" s="2" t="n">
        <v>0</v>
      </c>
    </row>
    <row r="685" customFormat="false" ht="15" hidden="false" customHeight="false" outlineLevel="0" collapsed="false">
      <c r="A685" s="2" t="s">
        <v>14</v>
      </c>
      <c r="B685" s="2" t="n">
        <v>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27.6</v>
      </c>
      <c r="K685" s="2" t="s">
        <v>23</v>
      </c>
      <c r="L685" s="2" t="s">
        <v>16</v>
      </c>
      <c r="M685" s="2" t="s">
        <v>20</v>
      </c>
      <c r="N685" s="2" t="n">
        <v>0</v>
      </c>
    </row>
    <row r="686" customFormat="false" ht="15" hidden="false" customHeight="false" outlineLevel="0" collapsed="false">
      <c r="A686" s="2" t="s">
        <v>14</v>
      </c>
      <c r="B686" s="2" t="n">
        <v>1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1</v>
      </c>
      <c r="H686" s="2" t="n">
        <v>0</v>
      </c>
      <c r="I686" s="2" t="n">
        <v>68.5</v>
      </c>
      <c r="K686" s="2" t="s">
        <v>18</v>
      </c>
      <c r="L686" s="2" t="s">
        <v>19</v>
      </c>
      <c r="M686" s="2" t="s">
        <v>22</v>
      </c>
      <c r="N686" s="2" t="n">
        <v>1</v>
      </c>
    </row>
    <row r="687" customFormat="false" ht="15" hidden="false" customHeight="false" outlineLevel="0" collapsed="false">
      <c r="A687" s="2" t="s">
        <v>14</v>
      </c>
      <c r="B687" s="2" t="n">
        <v>1</v>
      </c>
      <c r="C687" s="2" t="n">
        <v>1</v>
      </c>
      <c r="D687" s="2" t="n">
        <v>1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59.2</v>
      </c>
      <c r="K687" s="2" t="s">
        <v>23</v>
      </c>
      <c r="L687" s="2" t="s">
        <v>16</v>
      </c>
      <c r="M687" s="2" t="s">
        <v>20</v>
      </c>
      <c r="N687" s="2" t="n">
        <v>0</v>
      </c>
    </row>
    <row r="688" customFormat="false" ht="15" hidden="false" customHeight="false" outlineLevel="0" collapsed="false">
      <c r="A688" s="2" t="s">
        <v>14</v>
      </c>
      <c r="B688" s="2" t="n">
        <v>1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63.3</v>
      </c>
      <c r="K688" s="2" t="s">
        <v>15</v>
      </c>
      <c r="L688" s="2" t="s">
        <v>19</v>
      </c>
      <c r="M688" s="2" t="s">
        <v>17</v>
      </c>
      <c r="N688" s="2" t="n">
        <v>0</v>
      </c>
    </row>
    <row r="689" customFormat="false" ht="15" hidden="false" customHeight="false" outlineLevel="0" collapsed="false">
      <c r="A689" s="2" t="s">
        <v>14</v>
      </c>
      <c r="B689" s="2" t="n">
        <v>0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55</v>
      </c>
      <c r="K689" s="2" t="s">
        <v>21</v>
      </c>
      <c r="L689" s="2" t="s">
        <v>16</v>
      </c>
      <c r="M689" s="2" t="s">
        <v>20</v>
      </c>
      <c r="N689" s="2" t="n">
        <v>0</v>
      </c>
    </row>
    <row r="690" customFormat="false" ht="15" hidden="false" customHeight="false" outlineLevel="0" collapsed="false">
      <c r="A690" s="2" t="s">
        <v>14</v>
      </c>
      <c r="B690" s="2" t="n">
        <v>1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64.8</v>
      </c>
      <c r="K690" s="2" t="s">
        <v>15</v>
      </c>
      <c r="L690" s="2" t="s">
        <v>16</v>
      </c>
      <c r="M690" s="2" t="s">
        <v>22</v>
      </c>
      <c r="N690" s="2" t="n">
        <v>0</v>
      </c>
    </row>
    <row r="691" customFormat="false" ht="15" hidden="false" customHeight="false" outlineLevel="0" collapsed="false">
      <c r="A691" s="2" t="s">
        <v>14</v>
      </c>
      <c r="B691" s="2" t="n">
        <v>0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1</v>
      </c>
      <c r="H691" s="2" t="n">
        <v>0</v>
      </c>
      <c r="I691" s="2" t="n">
        <v>41.8</v>
      </c>
      <c r="K691" s="2" t="s">
        <v>23</v>
      </c>
      <c r="L691" s="2" t="s">
        <v>16</v>
      </c>
      <c r="M691" s="2" t="s">
        <v>17</v>
      </c>
      <c r="N691" s="2" t="n">
        <v>2</v>
      </c>
    </row>
    <row r="692" customFormat="false" ht="15" hidden="false" customHeight="false" outlineLevel="0" collapsed="false">
      <c r="A692" s="2" t="s">
        <v>26</v>
      </c>
      <c r="B692" s="2" t="n">
        <v>1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73.2</v>
      </c>
      <c r="K692" s="2" t="s">
        <v>21</v>
      </c>
      <c r="L692" s="2" t="s">
        <v>16</v>
      </c>
      <c r="M692" s="2" t="s">
        <v>17</v>
      </c>
      <c r="N692" s="2" t="n">
        <v>0</v>
      </c>
    </row>
    <row r="693" customFormat="false" ht="15" hidden="false" customHeight="false" outlineLevel="0" collapsed="false">
      <c r="A693" s="2" t="s">
        <v>26</v>
      </c>
      <c r="B693" s="2" t="n">
        <v>1</v>
      </c>
      <c r="C693" s="2" t="n">
        <v>1</v>
      </c>
      <c r="D693" s="2" t="n">
        <v>1</v>
      </c>
      <c r="E693" s="2" t="n">
        <v>0</v>
      </c>
      <c r="F693" s="2" t="n">
        <v>0</v>
      </c>
      <c r="G693" s="2" t="n">
        <v>1</v>
      </c>
      <c r="H693" s="2" t="n">
        <v>0</v>
      </c>
      <c r="I693" s="2" t="n">
        <v>55.7</v>
      </c>
      <c r="K693" s="2" t="s">
        <v>21</v>
      </c>
      <c r="L693" s="2" t="s">
        <v>16</v>
      </c>
      <c r="M693" s="2" t="s">
        <v>17</v>
      </c>
      <c r="N693" s="2" t="n">
        <v>3</v>
      </c>
    </row>
    <row r="694" customFormat="false" ht="15" hidden="false" customHeight="false" outlineLevel="0" collapsed="false">
      <c r="A694" s="2" t="s">
        <v>26</v>
      </c>
      <c r="B694" s="2" t="n">
        <v>1</v>
      </c>
      <c r="C694" s="2" t="n">
        <v>1</v>
      </c>
      <c r="D694" s="2" t="n">
        <v>1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82.8</v>
      </c>
      <c r="K694" s="2" t="s">
        <v>15</v>
      </c>
      <c r="L694" s="2" t="s">
        <v>19</v>
      </c>
      <c r="M694" s="2" t="s">
        <v>20</v>
      </c>
      <c r="N694" s="2" t="n">
        <v>0</v>
      </c>
    </row>
    <row r="695" customFormat="false" ht="15" hidden="false" customHeight="false" outlineLevel="0" collapsed="false">
      <c r="A695" s="2" t="s">
        <v>26</v>
      </c>
      <c r="B695" s="2" t="n">
        <v>1</v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K695" s="2" t="s">
        <v>15</v>
      </c>
      <c r="L695" s="2" t="s">
        <v>16</v>
      </c>
      <c r="M695" s="2" t="s">
        <v>20</v>
      </c>
      <c r="N695" s="2" t="n">
        <v>0</v>
      </c>
    </row>
    <row r="696" customFormat="false" ht="15" hidden="false" customHeight="false" outlineLevel="0" collapsed="false">
      <c r="A696" s="2" t="s">
        <v>26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34.4</v>
      </c>
      <c r="K696" s="2" t="s">
        <v>23</v>
      </c>
      <c r="L696" s="2" t="s">
        <v>19</v>
      </c>
      <c r="M696" s="2" t="s">
        <v>20</v>
      </c>
      <c r="N696" s="2" t="n">
        <v>0</v>
      </c>
    </row>
    <row r="697" customFormat="false" ht="15" hidden="false" customHeight="false" outlineLevel="0" collapsed="false">
      <c r="A697" s="2" t="s">
        <v>26</v>
      </c>
      <c r="B697" s="2" t="n">
        <v>1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45.2</v>
      </c>
      <c r="K697" s="2" t="s">
        <v>21</v>
      </c>
      <c r="L697" s="2" t="s">
        <v>16</v>
      </c>
      <c r="M697" s="2" t="s">
        <v>20</v>
      </c>
      <c r="N697" s="2" t="n">
        <v>0</v>
      </c>
    </row>
    <row r="698" customFormat="false" ht="15" hidden="false" customHeight="false" outlineLevel="0" collapsed="false">
      <c r="A698" s="2" t="s">
        <v>26</v>
      </c>
      <c r="B698" s="2" t="n">
        <v>1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71.6</v>
      </c>
      <c r="K698" s="2" t="s">
        <v>15</v>
      </c>
      <c r="L698" s="2" t="s">
        <v>19</v>
      </c>
      <c r="M698" s="2" t="s">
        <v>17</v>
      </c>
      <c r="N698" s="2" t="n">
        <v>0</v>
      </c>
    </row>
    <row r="699" customFormat="false" ht="15" hidden="false" customHeight="false" outlineLevel="0" collapsed="false">
      <c r="A699" s="2" t="s">
        <v>26</v>
      </c>
      <c r="B699" s="2" t="n">
        <v>1</v>
      </c>
      <c r="C699" s="2" t="n">
        <v>1</v>
      </c>
      <c r="D699" s="2" t="n">
        <v>1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69.1</v>
      </c>
      <c r="K699" s="2" t="s">
        <v>15</v>
      </c>
      <c r="L699" s="2" t="s">
        <v>19</v>
      </c>
      <c r="M699" s="2" t="s">
        <v>20</v>
      </c>
      <c r="N699" s="2" t="n">
        <v>0</v>
      </c>
    </row>
    <row r="700" customFormat="false" ht="15" hidden="false" customHeight="false" outlineLevel="0" collapsed="false">
      <c r="A700" s="2" t="s">
        <v>26</v>
      </c>
      <c r="B700" s="2" t="n">
        <v>1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1</v>
      </c>
      <c r="H700" s="2" t="n">
        <v>0</v>
      </c>
      <c r="I700" s="2" t="n">
        <v>37.7</v>
      </c>
      <c r="K700" s="2" t="s">
        <v>18</v>
      </c>
      <c r="L700" s="2" t="s">
        <v>16</v>
      </c>
      <c r="M700" s="2" t="s">
        <v>22</v>
      </c>
      <c r="N700" s="2" t="n">
        <v>1</v>
      </c>
    </row>
    <row r="701" customFormat="false" ht="15" hidden="false" customHeight="false" outlineLevel="0" collapsed="false">
      <c r="A701" s="2" t="s">
        <v>26</v>
      </c>
      <c r="B701" s="2" t="n">
        <v>1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1</v>
      </c>
      <c r="H701" s="2" t="n">
        <v>0</v>
      </c>
      <c r="I701" s="2" t="n">
        <v>60.8</v>
      </c>
      <c r="K701" s="2" t="s">
        <v>18</v>
      </c>
      <c r="L701" s="2" t="s">
        <v>16</v>
      </c>
      <c r="M701" s="2" t="s">
        <v>17</v>
      </c>
      <c r="N701" s="2" t="n">
        <v>1</v>
      </c>
    </row>
    <row r="702" customFormat="false" ht="15" hidden="false" customHeight="false" outlineLevel="0" collapsed="false">
      <c r="A702" s="2" t="s">
        <v>26</v>
      </c>
      <c r="B702" s="2" t="n">
        <v>1</v>
      </c>
      <c r="C702" s="2" t="n">
        <v>1</v>
      </c>
      <c r="D702" s="2" t="n">
        <v>1</v>
      </c>
      <c r="E702" s="2" t="n">
        <v>1</v>
      </c>
      <c r="F702" s="2" t="n">
        <v>444.13</v>
      </c>
      <c r="G702" s="2" t="n">
        <v>0</v>
      </c>
      <c r="H702" s="2" t="n">
        <v>0</v>
      </c>
      <c r="I702" s="2" t="n">
        <v>80.7</v>
      </c>
      <c r="J702" s="2" t="n">
        <v>10</v>
      </c>
      <c r="K702" s="2" t="s">
        <v>15</v>
      </c>
      <c r="L702" s="2" t="s">
        <v>19</v>
      </c>
      <c r="M702" s="2" t="s">
        <v>20</v>
      </c>
      <c r="N702" s="2" t="n">
        <v>0</v>
      </c>
    </row>
    <row r="703" customFormat="false" ht="15" hidden="false" customHeight="false" outlineLevel="0" collapsed="false">
      <c r="A703" s="2" t="s">
        <v>26</v>
      </c>
      <c r="B703" s="2" t="n">
        <v>1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69.2</v>
      </c>
      <c r="K703" s="2" t="s">
        <v>23</v>
      </c>
      <c r="L703" s="2" t="s">
        <v>19</v>
      </c>
      <c r="M703" s="2" t="s">
        <v>20</v>
      </c>
      <c r="N703" s="2" t="n">
        <v>0</v>
      </c>
    </row>
    <row r="704" customFormat="false" ht="15" hidden="false" customHeight="false" outlineLevel="0" collapsed="false">
      <c r="A704" s="2" t="s">
        <v>26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1</v>
      </c>
      <c r="H704" s="2" t="n">
        <v>0</v>
      </c>
      <c r="I704" s="2" t="n">
        <v>55</v>
      </c>
      <c r="K704" s="2" t="s">
        <v>15</v>
      </c>
      <c r="L704" s="2" t="s">
        <v>19</v>
      </c>
      <c r="M704" s="2" t="s">
        <v>22</v>
      </c>
      <c r="N704" s="2" t="n">
        <v>3</v>
      </c>
    </row>
    <row r="705" customFormat="false" ht="15" hidden="false" customHeight="false" outlineLevel="0" collapsed="false">
      <c r="A705" s="2" t="s">
        <v>26</v>
      </c>
      <c r="B705" s="2" t="n">
        <v>0</v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1</v>
      </c>
      <c r="H705" s="2" t="n">
        <v>0</v>
      </c>
      <c r="I705" s="2" t="n">
        <v>73.6</v>
      </c>
      <c r="K705" s="2" t="s">
        <v>18</v>
      </c>
      <c r="L705" s="2" t="s">
        <v>19</v>
      </c>
      <c r="M705" s="2" t="s">
        <v>20</v>
      </c>
      <c r="N705" s="2" t="n">
        <v>1</v>
      </c>
    </row>
    <row r="706" customFormat="false" ht="15" hidden="false" customHeight="false" outlineLevel="0" collapsed="false">
      <c r="A706" s="2" t="s">
        <v>26</v>
      </c>
      <c r="B706" s="2" t="n">
        <v>1</v>
      </c>
      <c r="C706" s="2" t="n">
        <v>1</v>
      </c>
      <c r="D706" s="2" t="n">
        <v>1</v>
      </c>
      <c r="E706" s="2" t="n">
        <v>0</v>
      </c>
      <c r="F706" s="2" t="n">
        <v>0</v>
      </c>
      <c r="G706" s="2" t="n">
        <v>1</v>
      </c>
      <c r="H706" s="2" t="n">
        <v>0</v>
      </c>
      <c r="I706" s="2" t="n">
        <v>47.3</v>
      </c>
      <c r="K706" s="2" t="s">
        <v>23</v>
      </c>
      <c r="L706" s="2" t="s">
        <v>19</v>
      </c>
      <c r="M706" s="2" t="s">
        <v>17</v>
      </c>
      <c r="N706" s="2" t="n">
        <v>1</v>
      </c>
    </row>
    <row r="707" customFormat="false" ht="15" hidden="false" customHeight="false" outlineLevel="0" collapsed="false">
      <c r="A707" s="2" t="s">
        <v>26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43.6</v>
      </c>
      <c r="K707" s="2" t="s">
        <v>15</v>
      </c>
      <c r="L707" s="2" t="s">
        <v>19</v>
      </c>
      <c r="M707" s="2" t="s">
        <v>17</v>
      </c>
      <c r="N707" s="2" t="n">
        <v>0</v>
      </c>
    </row>
    <row r="708" customFormat="false" ht="15" hidden="false" customHeight="false" outlineLevel="0" collapsed="false">
      <c r="A708" s="2" t="s">
        <v>26</v>
      </c>
      <c r="B708" s="2" t="n">
        <v>1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K708" s="2" t="s">
        <v>15</v>
      </c>
      <c r="L708" s="2" t="s">
        <v>16</v>
      </c>
      <c r="M708" s="2" t="s">
        <v>17</v>
      </c>
      <c r="N708" s="2" t="n">
        <v>0</v>
      </c>
    </row>
    <row r="709" customFormat="false" ht="15" hidden="false" customHeight="false" outlineLevel="0" collapsed="false">
      <c r="A709" s="2" t="s">
        <v>26</v>
      </c>
      <c r="B709" s="2" t="n">
        <v>0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55.2</v>
      </c>
      <c r="K709" s="2" t="s">
        <v>23</v>
      </c>
      <c r="L709" s="2" t="s">
        <v>19</v>
      </c>
      <c r="M709" s="2" t="s">
        <v>20</v>
      </c>
      <c r="N709" s="2" t="n">
        <v>0</v>
      </c>
    </row>
    <row r="710" customFormat="false" ht="15" hidden="false" customHeight="false" outlineLevel="0" collapsed="false">
      <c r="A710" s="2" t="s">
        <v>26</v>
      </c>
      <c r="B710" s="2" t="n">
        <v>1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49.4</v>
      </c>
      <c r="K710" s="2" t="s">
        <v>23</v>
      </c>
      <c r="L710" s="2" t="s">
        <v>19</v>
      </c>
      <c r="M710" s="2" t="s">
        <v>17</v>
      </c>
      <c r="N710" s="2" t="n">
        <v>0</v>
      </c>
    </row>
    <row r="711" customFormat="false" ht="15" hidden="false" customHeight="false" outlineLevel="0" collapsed="false">
      <c r="A711" s="2" t="s">
        <v>26</v>
      </c>
      <c r="B711" s="2" t="n">
        <v>1</v>
      </c>
      <c r="C711" s="2" t="n">
        <v>1</v>
      </c>
      <c r="D711" s="2" t="n">
        <v>1</v>
      </c>
      <c r="E711" s="2" t="n">
        <v>0</v>
      </c>
      <c r="F711" s="2" t="n">
        <v>0</v>
      </c>
      <c r="G711" s="2" t="n">
        <v>1</v>
      </c>
      <c r="H711" s="2" t="n">
        <v>0</v>
      </c>
      <c r="I711" s="2" t="n">
        <v>60.1</v>
      </c>
      <c r="K711" s="2" t="s">
        <v>23</v>
      </c>
      <c r="L711" s="2" t="s">
        <v>19</v>
      </c>
      <c r="M711" s="2" t="s">
        <v>20</v>
      </c>
      <c r="N711" s="2" t="n">
        <v>1</v>
      </c>
    </row>
    <row r="712" customFormat="false" ht="15" hidden="false" customHeight="false" outlineLevel="0" collapsed="false">
      <c r="A712" s="2" t="s">
        <v>26</v>
      </c>
      <c r="B712" s="2" t="n">
        <v>1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55.9</v>
      </c>
      <c r="K712" s="2" t="s">
        <v>15</v>
      </c>
      <c r="L712" s="2" t="s">
        <v>19</v>
      </c>
      <c r="M712" s="2" t="s">
        <v>20</v>
      </c>
      <c r="N712" s="2" t="n">
        <v>0</v>
      </c>
    </row>
    <row r="713" customFormat="false" ht="15" hidden="false" customHeight="false" outlineLevel="0" collapsed="false">
      <c r="A713" s="2" t="s">
        <v>26</v>
      </c>
      <c r="B713" s="2" t="n">
        <v>1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51.5</v>
      </c>
      <c r="K713" s="2" t="s">
        <v>15</v>
      </c>
      <c r="L713" s="2" t="s">
        <v>19</v>
      </c>
      <c r="M713" s="2" t="s">
        <v>17</v>
      </c>
      <c r="N713" s="2" t="n">
        <v>0</v>
      </c>
    </row>
    <row r="714" customFormat="false" ht="15" hidden="false" customHeight="false" outlineLevel="0" collapsed="false">
      <c r="A714" s="2" t="s">
        <v>26</v>
      </c>
      <c r="B714" s="2" t="n">
        <v>1</v>
      </c>
      <c r="C714" s="2" t="n">
        <v>1</v>
      </c>
      <c r="D714" s="2" t="n">
        <v>1</v>
      </c>
      <c r="E714" s="2" t="n">
        <v>1</v>
      </c>
      <c r="F714" s="2" t="n">
        <v>516.67</v>
      </c>
      <c r="G714" s="2" t="n">
        <v>0</v>
      </c>
      <c r="H714" s="2" t="n">
        <v>0</v>
      </c>
      <c r="I714" s="2" t="n">
        <v>57.9</v>
      </c>
      <c r="J714" s="2" t="n">
        <v>11</v>
      </c>
      <c r="K714" s="2" t="s">
        <v>21</v>
      </c>
      <c r="L714" s="2" t="s">
        <v>19</v>
      </c>
      <c r="M714" s="2" t="s">
        <v>20</v>
      </c>
      <c r="N714" s="2" t="n">
        <v>0</v>
      </c>
    </row>
    <row r="715" customFormat="false" ht="15" hidden="false" customHeight="false" outlineLevel="0" collapsed="false">
      <c r="A715" s="2" t="s">
        <v>26</v>
      </c>
      <c r="B715" s="2" t="n">
        <v>1</v>
      </c>
      <c r="C715" s="2" t="n">
        <v>1</v>
      </c>
      <c r="D715" s="2" t="n">
        <v>1</v>
      </c>
      <c r="E715" s="2" t="n">
        <v>1</v>
      </c>
      <c r="F715" s="2" t="n">
        <v>277.18</v>
      </c>
      <c r="G715" s="2" t="n">
        <v>1</v>
      </c>
      <c r="H715" s="2" t="n">
        <v>0</v>
      </c>
      <c r="I715" s="2" t="n">
        <v>59.2</v>
      </c>
      <c r="J715" s="2" t="n">
        <v>8</v>
      </c>
      <c r="K715" s="2" t="s">
        <v>23</v>
      </c>
      <c r="L715" s="2" t="s">
        <v>19</v>
      </c>
      <c r="M715" s="2" t="s">
        <v>20</v>
      </c>
      <c r="N715" s="2" t="n">
        <v>2</v>
      </c>
    </row>
    <row r="716" customFormat="false" ht="15" hidden="false" customHeight="false" outlineLevel="0" collapsed="false">
      <c r="A716" s="2" t="s">
        <v>26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64.2</v>
      </c>
      <c r="K716" s="2" t="s">
        <v>23</v>
      </c>
      <c r="L716" s="2" t="s">
        <v>19</v>
      </c>
      <c r="M716" s="2" t="s">
        <v>20</v>
      </c>
      <c r="N716" s="2" t="n">
        <v>0</v>
      </c>
    </row>
    <row r="717" customFormat="false" ht="15" hidden="false" customHeight="false" outlineLevel="0" collapsed="false">
      <c r="A717" s="2" t="s">
        <v>26</v>
      </c>
      <c r="B717" s="2" t="n">
        <v>1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68.8</v>
      </c>
      <c r="K717" s="2" t="s">
        <v>23</v>
      </c>
      <c r="L717" s="2" t="s">
        <v>19</v>
      </c>
      <c r="M717" s="2" t="s">
        <v>20</v>
      </c>
      <c r="N717" s="2" t="n">
        <v>0</v>
      </c>
    </row>
    <row r="718" customFormat="false" ht="15" hidden="false" customHeight="false" outlineLevel="0" collapsed="false">
      <c r="A718" s="2" t="s">
        <v>26</v>
      </c>
      <c r="B718" s="2" t="n">
        <v>1</v>
      </c>
      <c r="C718" s="2" t="n">
        <v>1</v>
      </c>
      <c r="D718" s="2" t="n">
        <v>1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77.9</v>
      </c>
      <c r="K718" s="2" t="s">
        <v>15</v>
      </c>
      <c r="L718" s="2" t="s">
        <v>19</v>
      </c>
      <c r="M718" s="2" t="s">
        <v>22</v>
      </c>
      <c r="N718" s="2" t="n">
        <v>0</v>
      </c>
    </row>
    <row r="719" customFormat="false" ht="15" hidden="false" customHeight="false" outlineLevel="0" collapsed="false">
      <c r="A719" s="2" t="s">
        <v>26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92.1</v>
      </c>
      <c r="K719" s="2" t="s">
        <v>18</v>
      </c>
      <c r="L719" s="2" t="s">
        <v>19</v>
      </c>
      <c r="M719" s="2" t="s">
        <v>17</v>
      </c>
      <c r="N719" s="2" t="n">
        <v>0</v>
      </c>
    </row>
    <row r="720" customFormat="false" ht="15" hidden="false" customHeight="false" outlineLevel="0" collapsed="false">
      <c r="A720" s="2" t="s">
        <v>26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63.6</v>
      </c>
      <c r="K720" s="2" t="s">
        <v>18</v>
      </c>
      <c r="L720" s="2" t="s">
        <v>19</v>
      </c>
      <c r="M720" s="2" t="s">
        <v>22</v>
      </c>
      <c r="N720" s="2" t="n">
        <v>0</v>
      </c>
    </row>
    <row r="721" customFormat="false" ht="15" hidden="false" customHeight="false" outlineLevel="0" collapsed="false">
      <c r="A721" s="2" t="s">
        <v>26</v>
      </c>
      <c r="B721" s="2" t="n">
        <v>0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1</v>
      </c>
      <c r="H721" s="2" t="n">
        <v>0</v>
      </c>
      <c r="I721" s="2" t="n">
        <v>61.6</v>
      </c>
      <c r="K721" s="2" t="s">
        <v>18</v>
      </c>
      <c r="L721" s="2" t="s">
        <v>16</v>
      </c>
      <c r="M721" s="2" t="s">
        <v>20</v>
      </c>
      <c r="N721" s="2" t="n">
        <v>2</v>
      </c>
    </row>
    <row r="722" customFormat="false" ht="15" hidden="false" customHeight="false" outlineLevel="0" collapsed="false">
      <c r="A722" s="2" t="s">
        <v>26</v>
      </c>
      <c r="B722" s="2" t="n">
        <v>1</v>
      </c>
      <c r="C722" s="2" t="n">
        <v>1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82.3</v>
      </c>
      <c r="K722" s="2" t="s">
        <v>21</v>
      </c>
      <c r="L722" s="2" t="s">
        <v>19</v>
      </c>
      <c r="M722" s="2" t="s">
        <v>17</v>
      </c>
      <c r="N722" s="2" t="n">
        <v>0</v>
      </c>
    </row>
    <row r="723" customFormat="false" ht="15" hidden="false" customHeight="false" outlineLevel="0" collapsed="false">
      <c r="A723" s="2" t="s">
        <v>26</v>
      </c>
      <c r="B723" s="2" t="n">
        <v>1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79.3</v>
      </c>
      <c r="K723" s="2" t="s">
        <v>21</v>
      </c>
      <c r="L723" s="2" t="s">
        <v>16</v>
      </c>
      <c r="M723" s="2" t="s">
        <v>20</v>
      </c>
      <c r="N723" s="2" t="n">
        <v>0</v>
      </c>
    </row>
    <row r="724" customFormat="false" ht="15" hidden="false" customHeight="false" outlineLevel="0" collapsed="false">
      <c r="A724" s="2" t="s">
        <v>26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57.7</v>
      </c>
      <c r="K724" s="2" t="s">
        <v>23</v>
      </c>
      <c r="L724" s="2" t="s">
        <v>19</v>
      </c>
      <c r="M724" s="2" t="s">
        <v>20</v>
      </c>
      <c r="N724" s="2" t="n">
        <v>0</v>
      </c>
    </row>
    <row r="725" customFormat="false" ht="15" hidden="false" customHeight="false" outlineLevel="0" collapsed="false">
      <c r="A725" s="2" t="s">
        <v>26</v>
      </c>
      <c r="B725" s="2" t="n">
        <v>1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63.1</v>
      </c>
      <c r="K725" s="2" t="s">
        <v>15</v>
      </c>
      <c r="L725" s="2" t="s">
        <v>19</v>
      </c>
      <c r="M725" s="2" t="s">
        <v>17</v>
      </c>
      <c r="N725" s="2" t="n">
        <v>0</v>
      </c>
    </row>
    <row r="726" customFormat="false" ht="15" hidden="false" customHeight="false" outlineLevel="0" collapsed="false">
      <c r="A726" s="2" t="s">
        <v>26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72.3</v>
      </c>
      <c r="K726" s="2" t="s">
        <v>21</v>
      </c>
      <c r="L726" s="2" t="s">
        <v>19</v>
      </c>
      <c r="M726" s="2" t="s">
        <v>17</v>
      </c>
      <c r="N726" s="2" t="n">
        <v>0</v>
      </c>
    </row>
    <row r="727" customFormat="false" ht="15" hidden="false" customHeight="false" outlineLevel="0" collapsed="false">
      <c r="A727" s="2" t="s">
        <v>26</v>
      </c>
      <c r="B727" s="2" t="n">
        <v>1</v>
      </c>
      <c r="C727" s="2" t="n">
        <v>1</v>
      </c>
      <c r="D727" s="2" t="n">
        <v>1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78</v>
      </c>
      <c r="K727" s="2" t="s">
        <v>21</v>
      </c>
      <c r="L727" s="2" t="s">
        <v>19</v>
      </c>
      <c r="M727" s="2" t="s">
        <v>20</v>
      </c>
      <c r="N727" s="2" t="n">
        <v>0</v>
      </c>
    </row>
    <row r="728" customFormat="false" ht="15" hidden="false" customHeight="false" outlineLevel="0" collapsed="false">
      <c r="A728" s="2" t="s">
        <v>26</v>
      </c>
      <c r="B728" s="2" t="n">
        <v>1</v>
      </c>
      <c r="C728" s="2" t="n">
        <v>1</v>
      </c>
      <c r="D728" s="2" t="n">
        <v>0</v>
      </c>
      <c r="E728" s="2" t="n">
        <v>0</v>
      </c>
      <c r="F728" s="2" t="n">
        <v>0</v>
      </c>
      <c r="G728" s="2" t="n">
        <v>1</v>
      </c>
      <c r="H728" s="2" t="n">
        <v>0</v>
      </c>
      <c r="I728" s="2" t="n">
        <v>59.1</v>
      </c>
      <c r="K728" s="2" t="s">
        <v>21</v>
      </c>
      <c r="L728" s="2" t="s">
        <v>16</v>
      </c>
      <c r="M728" s="2" t="s">
        <v>20</v>
      </c>
      <c r="N728" s="2" t="n">
        <v>2</v>
      </c>
    </row>
    <row r="729" customFormat="false" ht="15" hidden="false" customHeight="false" outlineLevel="0" collapsed="false">
      <c r="A729" s="2" t="s">
        <v>26</v>
      </c>
      <c r="B729" s="2" t="n">
        <v>1</v>
      </c>
      <c r="C729" s="2" t="n">
        <v>1</v>
      </c>
      <c r="D729" s="2" t="n">
        <v>1</v>
      </c>
      <c r="E729" s="2" t="n">
        <v>1</v>
      </c>
      <c r="F729" s="2" t="n">
        <v>604.09</v>
      </c>
      <c r="G729" s="2" t="n">
        <v>0</v>
      </c>
      <c r="H729" s="2" t="n">
        <v>0</v>
      </c>
      <c r="I729" s="2" t="n">
        <v>47.1</v>
      </c>
      <c r="J729" s="2" t="n">
        <v>7</v>
      </c>
      <c r="K729" s="2" t="s">
        <v>23</v>
      </c>
      <c r="L729" s="2" t="s">
        <v>19</v>
      </c>
      <c r="M729" s="2" t="s">
        <v>20</v>
      </c>
      <c r="N729" s="2" t="n">
        <v>0</v>
      </c>
    </row>
    <row r="730" customFormat="false" ht="15" hidden="false" customHeight="false" outlineLevel="0" collapsed="false">
      <c r="A730" s="2" t="s">
        <v>26</v>
      </c>
      <c r="B730" s="2" t="n">
        <v>1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64.9</v>
      </c>
      <c r="K730" s="2" t="s">
        <v>23</v>
      </c>
      <c r="L730" s="2" t="s">
        <v>19</v>
      </c>
      <c r="M730" s="2" t="s">
        <v>22</v>
      </c>
      <c r="N730" s="2" t="n">
        <v>0</v>
      </c>
    </row>
    <row r="731" customFormat="false" ht="15" hidden="false" customHeight="false" outlineLevel="0" collapsed="false">
      <c r="A731" s="2" t="s">
        <v>26</v>
      </c>
      <c r="B731" s="2" t="n">
        <v>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67.3</v>
      </c>
      <c r="K731" s="2" t="s">
        <v>23</v>
      </c>
      <c r="L731" s="2" t="s">
        <v>24</v>
      </c>
      <c r="M731" s="2" t="s">
        <v>20</v>
      </c>
      <c r="N731" s="2" t="n">
        <v>0</v>
      </c>
    </row>
    <row r="732" customFormat="false" ht="15" hidden="false" customHeight="false" outlineLevel="0" collapsed="false">
      <c r="A732" s="2" t="s">
        <v>26</v>
      </c>
      <c r="B732" s="2" t="n">
        <v>1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1</v>
      </c>
      <c r="H732" s="2" t="n">
        <v>0</v>
      </c>
      <c r="I732" s="2" t="n">
        <v>52.9</v>
      </c>
      <c r="K732" s="2" t="s">
        <v>21</v>
      </c>
      <c r="L732" s="2" t="s">
        <v>19</v>
      </c>
      <c r="M732" s="2" t="s">
        <v>17</v>
      </c>
      <c r="N732" s="2" t="n">
        <v>2</v>
      </c>
    </row>
    <row r="733" customFormat="false" ht="15" hidden="false" customHeight="false" outlineLevel="0" collapsed="false">
      <c r="A733" s="2" t="s">
        <v>26</v>
      </c>
      <c r="B733" s="2" t="n">
        <v>1</v>
      </c>
      <c r="C733" s="2" t="n">
        <v>1</v>
      </c>
      <c r="D733" s="2" t="n">
        <v>1</v>
      </c>
      <c r="E733" s="2" t="n">
        <v>1</v>
      </c>
      <c r="F733" s="2" t="n">
        <v>442.37</v>
      </c>
      <c r="G733" s="2" t="n">
        <v>1</v>
      </c>
      <c r="H733" s="2" t="n">
        <v>0</v>
      </c>
      <c r="I733" s="2" t="n">
        <v>69.9</v>
      </c>
      <c r="J733" s="2" t="n">
        <v>4</v>
      </c>
      <c r="K733" s="2" t="s">
        <v>15</v>
      </c>
      <c r="L733" s="2" t="s">
        <v>19</v>
      </c>
      <c r="M733" s="2" t="s">
        <v>20</v>
      </c>
      <c r="N733" s="2" t="n">
        <v>1</v>
      </c>
    </row>
    <row r="734" customFormat="false" ht="15" hidden="false" customHeight="false" outlineLevel="0" collapsed="false">
      <c r="A734" s="2" t="s">
        <v>26</v>
      </c>
      <c r="B734" s="2" t="n">
        <v>1</v>
      </c>
      <c r="C734" s="2" t="n">
        <v>1</v>
      </c>
      <c r="D734" s="2" t="n">
        <v>1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78.9</v>
      </c>
      <c r="K734" s="2" t="s">
        <v>15</v>
      </c>
      <c r="L734" s="2" t="s">
        <v>19</v>
      </c>
      <c r="M734" s="2" t="s">
        <v>17</v>
      </c>
      <c r="N734" s="2" t="n">
        <v>0</v>
      </c>
    </row>
    <row r="735" customFormat="false" ht="15" hidden="false" customHeight="false" outlineLevel="0" collapsed="false">
      <c r="A735" s="2" t="s">
        <v>26</v>
      </c>
      <c r="B735" s="2" t="n">
        <v>1</v>
      </c>
      <c r="C735" s="2" t="n">
        <v>1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83.3</v>
      </c>
      <c r="K735" s="2" t="s">
        <v>21</v>
      </c>
      <c r="L735" s="2" t="s">
        <v>16</v>
      </c>
      <c r="M735" s="2" t="s">
        <v>22</v>
      </c>
      <c r="N735" s="2" t="n">
        <v>0</v>
      </c>
    </row>
    <row r="736" customFormat="false" ht="15" hidden="false" customHeight="false" outlineLevel="0" collapsed="false">
      <c r="A736" s="2" t="s">
        <v>26</v>
      </c>
      <c r="B736" s="2" t="n">
        <v>1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1</v>
      </c>
      <c r="H736" s="2" t="n">
        <v>0</v>
      </c>
      <c r="I736" s="2" t="n">
        <v>24.5</v>
      </c>
      <c r="K736" s="2" t="s">
        <v>21</v>
      </c>
      <c r="L736" s="2" t="s">
        <v>16</v>
      </c>
      <c r="M736" s="2" t="s">
        <v>20</v>
      </c>
      <c r="N736" s="2" t="n">
        <v>1</v>
      </c>
    </row>
    <row r="737" customFormat="false" ht="15" hidden="false" customHeight="false" outlineLevel="0" collapsed="false">
      <c r="A737" s="2" t="s">
        <v>26</v>
      </c>
      <c r="B737" s="2" t="n">
        <v>1</v>
      </c>
      <c r="C737" s="2" t="n">
        <v>1</v>
      </c>
      <c r="D737" s="2" t="n">
        <v>0</v>
      </c>
      <c r="E737" s="2" t="n">
        <v>0</v>
      </c>
      <c r="F737" s="2" t="n">
        <v>0</v>
      </c>
      <c r="G737" s="2" t="n">
        <v>1</v>
      </c>
      <c r="H737" s="2" t="n">
        <v>0</v>
      </c>
      <c r="I737" s="2" t="n">
        <v>56.9</v>
      </c>
      <c r="K737" s="2" t="s">
        <v>18</v>
      </c>
      <c r="L737" s="2" t="s">
        <v>19</v>
      </c>
      <c r="M737" s="2" t="s">
        <v>17</v>
      </c>
      <c r="N737" s="2" t="n">
        <v>1</v>
      </c>
    </row>
    <row r="738" customFormat="false" ht="15" hidden="false" customHeight="false" outlineLevel="0" collapsed="false">
      <c r="A738" s="2" t="s">
        <v>26</v>
      </c>
      <c r="B738" s="2" t="n">
        <v>1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69.9</v>
      </c>
      <c r="K738" s="2" t="s">
        <v>18</v>
      </c>
      <c r="L738" s="2" t="s">
        <v>19</v>
      </c>
      <c r="M738" s="2" t="s">
        <v>17</v>
      </c>
      <c r="N738" s="2" t="n">
        <v>0</v>
      </c>
    </row>
    <row r="739" customFormat="false" ht="15" hidden="false" customHeight="false" outlineLevel="0" collapsed="false">
      <c r="A739" s="2" t="s">
        <v>26</v>
      </c>
      <c r="B739" s="2" t="n">
        <v>1</v>
      </c>
      <c r="C739" s="2" t="n">
        <v>1</v>
      </c>
      <c r="D739" s="2" t="n">
        <v>1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81.5</v>
      </c>
      <c r="K739" s="2" t="s">
        <v>23</v>
      </c>
      <c r="L739" s="2" t="s">
        <v>19</v>
      </c>
      <c r="M739" s="2" t="s">
        <v>20</v>
      </c>
      <c r="N739" s="2" t="n">
        <v>0</v>
      </c>
    </row>
    <row r="740" customFormat="false" ht="15" hidden="false" customHeight="false" outlineLevel="0" collapsed="false">
      <c r="A740" s="2" t="s">
        <v>26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1</v>
      </c>
      <c r="H740" s="2" t="n">
        <v>0</v>
      </c>
      <c r="I740" s="2" t="n">
        <v>37.9</v>
      </c>
      <c r="K740" s="2" t="s">
        <v>15</v>
      </c>
      <c r="L740" s="2" t="s">
        <v>24</v>
      </c>
      <c r="M740" s="2" t="s">
        <v>17</v>
      </c>
      <c r="N740" s="2" t="n">
        <v>2</v>
      </c>
    </row>
    <row r="741" customFormat="false" ht="15" hidden="false" customHeight="false" outlineLevel="0" collapsed="false">
      <c r="A741" s="2" t="s">
        <v>26</v>
      </c>
      <c r="B741" s="2" t="n">
        <v>0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1</v>
      </c>
      <c r="H741" s="2" t="n">
        <v>0</v>
      </c>
      <c r="I741" s="2" t="n">
        <v>61.7</v>
      </c>
      <c r="K741" s="2" t="s">
        <v>15</v>
      </c>
      <c r="L741" s="2" t="s">
        <v>19</v>
      </c>
      <c r="M741" s="2" t="s">
        <v>20</v>
      </c>
      <c r="N741" s="2" t="n">
        <v>1</v>
      </c>
    </row>
    <row r="742" customFormat="false" ht="15" hidden="false" customHeight="false" outlineLevel="0" collapsed="false">
      <c r="A742" s="2" t="s">
        <v>26</v>
      </c>
      <c r="B742" s="2" t="n">
        <v>1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1</v>
      </c>
      <c r="H742" s="2" t="n">
        <v>0</v>
      </c>
      <c r="I742" s="2" t="n">
        <v>53.2</v>
      </c>
      <c r="K742" s="2" t="s">
        <v>15</v>
      </c>
      <c r="L742" s="2" t="s">
        <v>16</v>
      </c>
      <c r="M742" s="2" t="s">
        <v>22</v>
      </c>
      <c r="N742" s="2" t="n">
        <v>2</v>
      </c>
    </row>
    <row r="743" customFormat="false" ht="15" hidden="false" customHeight="false" outlineLevel="0" collapsed="false">
      <c r="A743" s="2" t="s">
        <v>26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61.9</v>
      </c>
      <c r="K743" s="2" t="s">
        <v>15</v>
      </c>
      <c r="L743" s="2" t="s">
        <v>19</v>
      </c>
      <c r="M743" s="2" t="s">
        <v>20</v>
      </c>
      <c r="N743" s="2" t="n">
        <v>0</v>
      </c>
    </row>
    <row r="744" customFormat="false" ht="15" hidden="false" customHeight="false" outlineLevel="0" collapsed="false">
      <c r="A744" s="2" t="s">
        <v>26</v>
      </c>
      <c r="B744" s="2" t="n">
        <v>1</v>
      </c>
      <c r="C744" s="2" t="n">
        <v>1</v>
      </c>
      <c r="D744" s="2" t="n">
        <v>1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68.9</v>
      </c>
      <c r="K744" s="2" t="s">
        <v>15</v>
      </c>
      <c r="L744" s="2" t="s">
        <v>19</v>
      </c>
      <c r="M744" s="2" t="s">
        <v>20</v>
      </c>
      <c r="N744" s="2" t="n">
        <v>0</v>
      </c>
    </row>
    <row r="745" customFormat="false" ht="15" hidden="false" customHeight="false" outlineLevel="0" collapsed="false">
      <c r="A745" s="2" t="s">
        <v>26</v>
      </c>
      <c r="B745" s="2" t="n">
        <v>0</v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66.3</v>
      </c>
      <c r="K745" s="2" t="s">
        <v>15</v>
      </c>
      <c r="L745" s="2" t="s">
        <v>24</v>
      </c>
      <c r="M745" s="2" t="s">
        <v>17</v>
      </c>
      <c r="N745" s="2" t="n">
        <v>0</v>
      </c>
    </row>
    <row r="746" customFormat="false" ht="15" hidden="false" customHeight="false" outlineLevel="0" collapsed="false">
      <c r="A746" s="2" t="s">
        <v>26</v>
      </c>
      <c r="B746" s="2" t="n">
        <v>1</v>
      </c>
      <c r="C746" s="2" t="n">
        <v>1</v>
      </c>
      <c r="D746" s="2" t="n">
        <v>1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54.6</v>
      </c>
      <c r="K746" s="2" t="s">
        <v>21</v>
      </c>
      <c r="L746" s="2" t="s">
        <v>19</v>
      </c>
      <c r="M746" s="2" t="s">
        <v>20</v>
      </c>
      <c r="N746" s="2" t="n">
        <v>0</v>
      </c>
    </row>
    <row r="747" customFormat="false" ht="15" hidden="false" customHeight="false" outlineLevel="0" collapsed="false">
      <c r="A747" s="2" t="s">
        <v>26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53.8</v>
      </c>
      <c r="K747" s="2" t="s">
        <v>23</v>
      </c>
      <c r="L747" s="2" t="s">
        <v>16</v>
      </c>
      <c r="M747" s="2" t="s">
        <v>20</v>
      </c>
      <c r="N747" s="2" t="n">
        <v>0</v>
      </c>
    </row>
    <row r="748" customFormat="false" ht="15" hidden="false" customHeight="false" outlineLevel="0" collapsed="false">
      <c r="A748" s="2" t="s">
        <v>26</v>
      </c>
      <c r="B748" s="2" t="n">
        <v>1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59.5</v>
      </c>
      <c r="K748" s="2" t="s">
        <v>18</v>
      </c>
      <c r="L748" s="2" t="s">
        <v>19</v>
      </c>
      <c r="M748" s="2" t="s">
        <v>20</v>
      </c>
      <c r="N748" s="2" t="n">
        <v>0</v>
      </c>
    </row>
    <row r="749" customFormat="false" ht="15" hidden="false" customHeight="false" outlineLevel="0" collapsed="false">
      <c r="A749" s="2" t="s">
        <v>26</v>
      </c>
      <c r="B749" s="2" t="n">
        <v>1</v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52.6</v>
      </c>
      <c r="K749" s="2" t="s">
        <v>15</v>
      </c>
      <c r="L749" s="2" t="s">
        <v>19</v>
      </c>
      <c r="M749" s="2" t="s">
        <v>20</v>
      </c>
      <c r="N749" s="2" t="n">
        <v>0</v>
      </c>
    </row>
    <row r="750" customFormat="false" ht="15" hidden="false" customHeight="false" outlineLevel="0" collapsed="false">
      <c r="A750" s="2" t="s">
        <v>26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49</v>
      </c>
      <c r="K750" s="2" t="s">
        <v>23</v>
      </c>
      <c r="L750" s="2" t="s">
        <v>16</v>
      </c>
      <c r="M750" s="2" t="s">
        <v>20</v>
      </c>
      <c r="N750" s="2" t="n">
        <v>0</v>
      </c>
    </row>
    <row r="751" customFormat="false" ht="15" hidden="false" customHeight="false" outlineLevel="0" collapsed="false">
      <c r="A751" s="2" t="s">
        <v>26</v>
      </c>
      <c r="B751" s="2" t="n">
        <v>1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59.3</v>
      </c>
      <c r="K751" s="2" t="s">
        <v>15</v>
      </c>
      <c r="L751" s="2" t="s">
        <v>24</v>
      </c>
      <c r="M751" s="2" t="s">
        <v>20</v>
      </c>
      <c r="N751" s="2" t="n">
        <v>0</v>
      </c>
    </row>
    <row r="752" customFormat="false" ht="15" hidden="false" customHeight="false" outlineLevel="0" collapsed="false">
      <c r="A752" s="2" t="s">
        <v>26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67.2</v>
      </c>
      <c r="K752" s="2" t="s">
        <v>23</v>
      </c>
      <c r="L752" s="2" t="s">
        <v>16</v>
      </c>
      <c r="M752" s="2" t="s">
        <v>17</v>
      </c>
      <c r="N752" s="2" t="n">
        <v>0</v>
      </c>
    </row>
    <row r="753" customFormat="false" ht="15" hidden="false" customHeight="false" outlineLevel="0" collapsed="false">
      <c r="A753" s="2" t="s">
        <v>26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73.5</v>
      </c>
      <c r="K753" s="2" t="s">
        <v>23</v>
      </c>
      <c r="L753" s="2" t="s">
        <v>19</v>
      </c>
      <c r="M753" s="2" t="s">
        <v>22</v>
      </c>
      <c r="N753" s="2" t="n">
        <v>0</v>
      </c>
    </row>
    <row r="754" customFormat="false" ht="15" hidden="false" customHeight="false" outlineLevel="0" collapsed="false">
      <c r="A754" s="2" t="s">
        <v>26</v>
      </c>
      <c r="B754" s="2" t="n">
        <v>1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61.2</v>
      </c>
      <c r="K754" s="2" t="s">
        <v>21</v>
      </c>
      <c r="L754" s="2" t="s">
        <v>24</v>
      </c>
      <c r="M754" s="2" t="s">
        <v>20</v>
      </c>
      <c r="N754" s="2" t="n">
        <v>0</v>
      </c>
    </row>
    <row r="755" customFormat="false" ht="15" hidden="false" customHeight="false" outlineLevel="0" collapsed="false">
      <c r="A755" s="2" t="s">
        <v>26</v>
      </c>
      <c r="B755" s="2" t="n">
        <v>1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1</v>
      </c>
      <c r="H755" s="2" t="n">
        <v>0</v>
      </c>
      <c r="I755" s="2" t="n">
        <v>56.4</v>
      </c>
      <c r="K755" s="2" t="s">
        <v>21</v>
      </c>
      <c r="L755" s="2" t="s">
        <v>19</v>
      </c>
      <c r="M755" s="2" t="s">
        <v>20</v>
      </c>
      <c r="N755" s="2" t="n">
        <v>1</v>
      </c>
    </row>
    <row r="756" customFormat="false" ht="15" hidden="false" customHeight="false" outlineLevel="0" collapsed="false">
      <c r="A756" s="2" t="s">
        <v>26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1</v>
      </c>
      <c r="H756" s="2" t="n">
        <v>0</v>
      </c>
      <c r="I756" s="2" t="n">
        <v>72.6</v>
      </c>
      <c r="K756" s="2" t="s">
        <v>15</v>
      </c>
      <c r="L756" s="2" t="s">
        <v>24</v>
      </c>
      <c r="M756" s="2" t="s">
        <v>20</v>
      </c>
      <c r="N756" s="2" t="n">
        <v>3</v>
      </c>
    </row>
    <row r="757" customFormat="false" ht="15" hidden="false" customHeight="false" outlineLevel="0" collapsed="false">
      <c r="A757" s="2" t="s">
        <v>26</v>
      </c>
      <c r="B757" s="2" t="n">
        <v>1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61.7</v>
      </c>
      <c r="K757" s="2" t="s">
        <v>23</v>
      </c>
      <c r="L757" s="2" t="s">
        <v>24</v>
      </c>
      <c r="M757" s="2" t="s">
        <v>17</v>
      </c>
      <c r="N757" s="2" t="n">
        <v>0</v>
      </c>
    </row>
    <row r="758" customFormat="false" ht="15" hidden="false" customHeight="false" outlineLevel="0" collapsed="false">
      <c r="A758" s="2" t="s">
        <v>26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1</v>
      </c>
      <c r="H758" s="2" t="n">
        <v>0</v>
      </c>
      <c r="I758" s="2" t="n">
        <v>66.9</v>
      </c>
      <c r="K758" s="2" t="s">
        <v>21</v>
      </c>
      <c r="L758" s="2" t="s">
        <v>19</v>
      </c>
      <c r="M758" s="2" t="s">
        <v>20</v>
      </c>
      <c r="N758" s="2" t="n">
        <v>1</v>
      </c>
    </row>
    <row r="759" customFormat="false" ht="15" hidden="false" customHeight="false" outlineLevel="0" collapsed="false">
      <c r="A759" s="2" t="s">
        <v>26</v>
      </c>
      <c r="B759" s="2" t="n">
        <v>1</v>
      </c>
      <c r="C759" s="2" t="n">
        <v>1</v>
      </c>
      <c r="D759" s="2" t="n">
        <v>1</v>
      </c>
      <c r="E759" s="2" t="n">
        <v>1</v>
      </c>
      <c r="F759" s="2" t="n">
        <v>1506.24</v>
      </c>
      <c r="G759" s="2" t="n">
        <v>1</v>
      </c>
      <c r="H759" s="2" t="n">
        <v>0</v>
      </c>
      <c r="I759" s="2" t="n">
        <v>64.9</v>
      </c>
      <c r="J759" s="2" t="n">
        <v>7</v>
      </c>
      <c r="K759" s="2" t="s">
        <v>21</v>
      </c>
      <c r="L759" s="2" t="s">
        <v>24</v>
      </c>
      <c r="M759" s="2" t="s">
        <v>22</v>
      </c>
      <c r="N759" s="2" t="n">
        <v>1</v>
      </c>
    </row>
    <row r="760" customFormat="false" ht="15" hidden="false" customHeight="false" outlineLevel="0" collapsed="false">
      <c r="A760" s="2" t="s">
        <v>26</v>
      </c>
      <c r="B760" s="2" t="n">
        <v>1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57.5</v>
      </c>
      <c r="K760" s="2" t="s">
        <v>21</v>
      </c>
      <c r="L760" s="2" t="s">
        <v>24</v>
      </c>
      <c r="M760" s="2" t="s">
        <v>22</v>
      </c>
      <c r="N760" s="2" t="n">
        <v>0</v>
      </c>
    </row>
    <row r="761" customFormat="false" ht="15" hidden="false" customHeight="false" outlineLevel="0" collapsed="false">
      <c r="A761" s="2" t="s">
        <v>26</v>
      </c>
      <c r="B761" s="2" t="n">
        <v>1</v>
      </c>
      <c r="C761" s="2" t="n">
        <v>1</v>
      </c>
      <c r="D761" s="2" t="n">
        <v>1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76.3</v>
      </c>
      <c r="K761" s="2" t="s">
        <v>18</v>
      </c>
      <c r="L761" s="2" t="s">
        <v>16</v>
      </c>
      <c r="M761" s="2" t="s">
        <v>20</v>
      </c>
      <c r="N761" s="2" t="n">
        <v>0</v>
      </c>
    </row>
    <row r="762" customFormat="false" ht="15" hidden="false" customHeight="false" outlineLevel="0" collapsed="false">
      <c r="A762" s="2" t="s">
        <v>26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47.5</v>
      </c>
      <c r="K762" s="2" t="s">
        <v>15</v>
      </c>
      <c r="L762" s="2" t="s">
        <v>19</v>
      </c>
      <c r="M762" s="2" t="s">
        <v>20</v>
      </c>
      <c r="N762" s="2" t="n">
        <v>0</v>
      </c>
    </row>
    <row r="763" customFormat="false" ht="15" hidden="false" customHeight="false" outlineLevel="0" collapsed="false">
      <c r="A763" s="2" t="s">
        <v>26</v>
      </c>
      <c r="B763" s="2" t="n">
        <v>0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K763" s="2" t="s">
        <v>23</v>
      </c>
      <c r="L763" s="2" t="s">
        <v>19</v>
      </c>
      <c r="M763" s="2" t="s">
        <v>20</v>
      </c>
      <c r="N763" s="2" t="n">
        <v>0</v>
      </c>
    </row>
    <row r="764" customFormat="false" ht="15" hidden="false" customHeight="false" outlineLevel="0" collapsed="false">
      <c r="A764" s="2" t="s">
        <v>26</v>
      </c>
      <c r="B764" s="2" t="n">
        <v>1</v>
      </c>
      <c r="C764" s="2" t="n">
        <v>1</v>
      </c>
      <c r="D764" s="2" t="n">
        <v>0</v>
      </c>
      <c r="E764" s="2" t="n">
        <v>0</v>
      </c>
      <c r="F764" s="2" t="n">
        <v>0</v>
      </c>
      <c r="G764" s="2" t="n">
        <v>1</v>
      </c>
      <c r="H764" s="2" t="n">
        <v>0</v>
      </c>
      <c r="I764" s="2" t="n">
        <v>71.6</v>
      </c>
      <c r="K764" s="2" t="s">
        <v>18</v>
      </c>
      <c r="L764" s="2" t="s">
        <v>16</v>
      </c>
      <c r="M764" s="2" t="s">
        <v>17</v>
      </c>
      <c r="N764" s="2" t="n">
        <v>2</v>
      </c>
    </row>
    <row r="765" customFormat="false" ht="15" hidden="false" customHeight="false" outlineLevel="0" collapsed="false">
      <c r="A765" s="2" t="s">
        <v>26</v>
      </c>
      <c r="B765" s="2" t="n">
        <v>1</v>
      </c>
      <c r="C765" s="2" t="n">
        <v>1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55.8</v>
      </c>
      <c r="K765" s="2" t="s">
        <v>23</v>
      </c>
      <c r="L765" s="2" t="s">
        <v>19</v>
      </c>
      <c r="M765" s="2" t="s">
        <v>17</v>
      </c>
      <c r="N765" s="2" t="n">
        <v>0</v>
      </c>
    </row>
    <row r="766" customFormat="false" ht="15" hidden="false" customHeight="false" outlineLevel="0" collapsed="false">
      <c r="A766" s="2" t="s">
        <v>26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1</v>
      </c>
      <c r="H766" s="2" t="n">
        <v>0</v>
      </c>
      <c r="I766" s="2" t="n">
        <v>60.1</v>
      </c>
      <c r="K766" s="2" t="s">
        <v>23</v>
      </c>
      <c r="L766" s="2" t="s">
        <v>16</v>
      </c>
      <c r="M766" s="2" t="s">
        <v>17</v>
      </c>
      <c r="N766" s="2" t="n">
        <v>1</v>
      </c>
    </row>
    <row r="767" customFormat="false" ht="15" hidden="false" customHeight="false" outlineLevel="0" collapsed="false">
      <c r="A767" s="2" t="s">
        <v>26</v>
      </c>
      <c r="B767" s="2" t="n">
        <v>1</v>
      </c>
      <c r="C767" s="2" t="n">
        <v>1</v>
      </c>
      <c r="D767" s="2" t="n">
        <v>1</v>
      </c>
      <c r="E767" s="2" t="n">
        <v>0</v>
      </c>
      <c r="F767" s="2" t="n">
        <v>0</v>
      </c>
      <c r="G767" s="2" t="n">
        <v>1</v>
      </c>
      <c r="H767" s="2" t="n">
        <v>0</v>
      </c>
      <c r="I767" s="2" t="n">
        <v>59.3</v>
      </c>
      <c r="K767" s="2" t="s">
        <v>18</v>
      </c>
      <c r="L767" s="2" t="s">
        <v>25</v>
      </c>
      <c r="M767" s="2" t="s">
        <v>17</v>
      </c>
      <c r="N767" s="2" t="n">
        <v>1</v>
      </c>
    </row>
    <row r="768" customFormat="false" ht="15" hidden="false" customHeight="false" outlineLevel="0" collapsed="false">
      <c r="A768" s="2" t="s">
        <v>26</v>
      </c>
      <c r="B768" s="2" t="n">
        <v>1</v>
      </c>
      <c r="C768" s="2" t="n">
        <v>1</v>
      </c>
      <c r="D768" s="2" t="n">
        <v>0</v>
      </c>
      <c r="E768" s="2" t="n">
        <v>0</v>
      </c>
      <c r="F768" s="2" t="n">
        <v>0</v>
      </c>
      <c r="G768" s="2" t="n">
        <v>1</v>
      </c>
      <c r="H768" s="2" t="n">
        <v>0</v>
      </c>
      <c r="I768" s="2" t="n">
        <v>49.3</v>
      </c>
      <c r="K768" s="2" t="s">
        <v>15</v>
      </c>
      <c r="L768" s="2" t="s">
        <v>19</v>
      </c>
      <c r="M768" s="2" t="s">
        <v>20</v>
      </c>
      <c r="N768" s="2" t="n">
        <v>2</v>
      </c>
    </row>
    <row r="769" customFormat="false" ht="15" hidden="false" customHeight="false" outlineLevel="0" collapsed="false">
      <c r="A769" s="2" t="s">
        <v>26</v>
      </c>
      <c r="B769" s="2" t="n">
        <v>1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75</v>
      </c>
      <c r="K769" s="2" t="s">
        <v>21</v>
      </c>
      <c r="L769" s="2" t="s">
        <v>19</v>
      </c>
      <c r="M769" s="2" t="s">
        <v>20</v>
      </c>
      <c r="N769" s="2" t="n">
        <v>0</v>
      </c>
    </row>
    <row r="770" customFormat="false" ht="15" hidden="false" customHeight="false" outlineLevel="0" collapsed="false">
      <c r="A770" s="2" t="s">
        <v>26</v>
      </c>
      <c r="B770" s="2" t="n">
        <v>1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70.2</v>
      </c>
      <c r="K770" s="2" t="s">
        <v>21</v>
      </c>
      <c r="L770" s="2" t="s">
        <v>19</v>
      </c>
      <c r="M770" s="2" t="s">
        <v>20</v>
      </c>
      <c r="N770" s="2" t="n">
        <v>0</v>
      </c>
    </row>
    <row r="771" customFormat="false" ht="15" hidden="false" customHeight="false" outlineLevel="0" collapsed="false">
      <c r="A771" s="2" t="s">
        <v>26</v>
      </c>
      <c r="B771" s="2" t="n">
        <v>1</v>
      </c>
      <c r="C771" s="2" t="n">
        <v>1</v>
      </c>
      <c r="D771" s="2" t="n">
        <v>1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56.6</v>
      </c>
      <c r="K771" s="2" t="s">
        <v>23</v>
      </c>
      <c r="L771" s="2" t="s">
        <v>16</v>
      </c>
      <c r="M771" s="2" t="s">
        <v>22</v>
      </c>
      <c r="N771" s="2" t="n">
        <v>0</v>
      </c>
    </row>
    <row r="772" customFormat="false" ht="15" hidden="false" customHeight="false" outlineLevel="0" collapsed="false">
      <c r="A772" s="2" t="s">
        <v>26</v>
      </c>
      <c r="B772" s="2" t="n">
        <v>1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65.4</v>
      </c>
      <c r="K772" s="2" t="s">
        <v>21</v>
      </c>
      <c r="L772" s="2" t="s">
        <v>16</v>
      </c>
      <c r="M772" s="2" t="s">
        <v>20</v>
      </c>
      <c r="N772" s="2" t="n">
        <v>0</v>
      </c>
    </row>
    <row r="773" customFormat="false" ht="15" hidden="false" customHeight="false" outlineLevel="0" collapsed="false">
      <c r="A773" s="2" t="s">
        <v>26</v>
      </c>
      <c r="B773" s="2" t="n">
        <v>1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47.6</v>
      </c>
      <c r="K773" s="2" t="s">
        <v>21</v>
      </c>
      <c r="L773" s="2" t="s">
        <v>19</v>
      </c>
      <c r="M773" s="2" t="s">
        <v>17</v>
      </c>
      <c r="N773" s="2" t="n">
        <v>0</v>
      </c>
    </row>
    <row r="774" customFormat="false" ht="15" hidden="false" customHeight="false" outlineLevel="0" collapsed="false">
      <c r="A774" s="2" t="s">
        <v>26</v>
      </c>
      <c r="B774" s="2" t="n">
        <v>1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56.7</v>
      </c>
      <c r="K774" s="2" t="s">
        <v>21</v>
      </c>
      <c r="L774" s="2" t="s">
        <v>16</v>
      </c>
      <c r="M774" s="2" t="s">
        <v>20</v>
      </c>
      <c r="N774" s="2" t="n">
        <v>0</v>
      </c>
    </row>
    <row r="775" customFormat="false" ht="15" hidden="false" customHeight="false" outlineLevel="0" collapsed="false">
      <c r="A775" s="2" t="s">
        <v>26</v>
      </c>
      <c r="B775" s="2" t="n">
        <v>1</v>
      </c>
      <c r="C775" s="2" t="n">
        <v>1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71.4</v>
      </c>
      <c r="K775" s="2" t="s">
        <v>15</v>
      </c>
      <c r="L775" s="2" t="s">
        <v>16</v>
      </c>
      <c r="M775" s="2" t="s">
        <v>17</v>
      </c>
      <c r="N775" s="2" t="n">
        <v>0</v>
      </c>
    </row>
    <row r="776" customFormat="false" ht="15" hidden="false" customHeight="false" outlineLevel="0" collapsed="false">
      <c r="A776" s="2" t="s">
        <v>26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1</v>
      </c>
      <c r="H776" s="2" t="n">
        <v>0</v>
      </c>
      <c r="I776" s="2" t="n">
        <v>60.5</v>
      </c>
      <c r="K776" s="2" t="s">
        <v>18</v>
      </c>
      <c r="L776" s="2" t="s">
        <v>19</v>
      </c>
      <c r="M776" s="2" t="s">
        <v>20</v>
      </c>
      <c r="N776" s="2" t="n">
        <v>2</v>
      </c>
    </row>
    <row r="777" customFormat="false" ht="15" hidden="false" customHeight="false" outlineLevel="0" collapsed="false">
      <c r="A777" s="2" t="s">
        <v>26</v>
      </c>
      <c r="B777" s="2" t="n">
        <v>1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46.7</v>
      </c>
      <c r="K777" s="2" t="s">
        <v>15</v>
      </c>
      <c r="L777" s="2" t="s">
        <v>16</v>
      </c>
      <c r="M777" s="2" t="s">
        <v>20</v>
      </c>
      <c r="N777" s="2" t="n">
        <v>0</v>
      </c>
    </row>
    <row r="778" customFormat="false" ht="15" hidden="false" customHeight="false" outlineLevel="0" collapsed="false">
      <c r="A778" s="2" t="s">
        <v>26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61</v>
      </c>
      <c r="K778" s="2" t="s">
        <v>21</v>
      </c>
      <c r="L778" s="2" t="s">
        <v>16</v>
      </c>
      <c r="M778" s="2" t="s">
        <v>20</v>
      </c>
      <c r="N778" s="2" t="n">
        <v>0</v>
      </c>
    </row>
    <row r="779" customFormat="false" ht="15" hidden="false" customHeight="false" outlineLevel="0" collapsed="false">
      <c r="A779" s="2" t="s">
        <v>26</v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60.9</v>
      </c>
      <c r="K779" s="2" t="s">
        <v>18</v>
      </c>
      <c r="L779" s="2" t="s">
        <v>24</v>
      </c>
      <c r="M779" s="2" t="s">
        <v>20</v>
      </c>
      <c r="N779" s="2" t="n">
        <v>0</v>
      </c>
    </row>
    <row r="780" customFormat="false" ht="15" hidden="false" customHeight="false" outlineLevel="0" collapsed="false">
      <c r="A780" s="2" t="s">
        <v>26</v>
      </c>
      <c r="B780" s="2" t="n">
        <v>1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67.1</v>
      </c>
      <c r="K780" s="2" t="s">
        <v>23</v>
      </c>
      <c r="L780" s="2" t="s">
        <v>19</v>
      </c>
      <c r="M780" s="2" t="s">
        <v>20</v>
      </c>
      <c r="N780" s="2" t="n">
        <v>0</v>
      </c>
    </row>
    <row r="781" customFormat="false" ht="15" hidden="false" customHeight="false" outlineLevel="0" collapsed="false">
      <c r="A781" s="2" t="s">
        <v>26</v>
      </c>
      <c r="B781" s="2" t="n">
        <v>1</v>
      </c>
      <c r="C781" s="2" t="n">
        <v>1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59.6</v>
      </c>
      <c r="K781" s="2" t="s">
        <v>15</v>
      </c>
      <c r="L781" s="2" t="s">
        <v>19</v>
      </c>
      <c r="M781" s="2" t="s">
        <v>20</v>
      </c>
      <c r="N781" s="2" t="n">
        <v>0</v>
      </c>
    </row>
    <row r="782" customFormat="false" ht="15" hidden="false" customHeight="false" outlineLevel="0" collapsed="false">
      <c r="A782" s="2" t="s">
        <v>26</v>
      </c>
      <c r="B782" s="2" t="n">
        <v>1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83.8</v>
      </c>
      <c r="K782" s="2" t="s">
        <v>23</v>
      </c>
      <c r="L782" s="2" t="s">
        <v>16</v>
      </c>
      <c r="M782" s="2" t="s">
        <v>20</v>
      </c>
      <c r="N782" s="2" t="n">
        <v>0</v>
      </c>
    </row>
    <row r="783" customFormat="false" ht="15" hidden="false" customHeight="false" outlineLevel="0" collapsed="false">
      <c r="A783" s="2" t="s">
        <v>26</v>
      </c>
      <c r="B783" s="2" t="n">
        <v>1</v>
      </c>
      <c r="C783" s="2" t="n">
        <v>1</v>
      </c>
      <c r="D783" s="2" t="n">
        <v>1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70.8</v>
      </c>
      <c r="K783" s="2" t="s">
        <v>15</v>
      </c>
      <c r="L783" s="2" t="s">
        <v>19</v>
      </c>
      <c r="M783" s="2" t="s">
        <v>17</v>
      </c>
      <c r="N783" s="2" t="n">
        <v>0</v>
      </c>
    </row>
    <row r="784" customFormat="false" ht="15" hidden="false" customHeight="false" outlineLevel="0" collapsed="false">
      <c r="A784" s="2" t="s">
        <v>26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65.9</v>
      </c>
      <c r="K784" s="2" t="s">
        <v>15</v>
      </c>
      <c r="L784" s="2" t="s">
        <v>24</v>
      </c>
      <c r="M784" s="2" t="s">
        <v>17</v>
      </c>
      <c r="N784" s="2" t="n">
        <v>0</v>
      </c>
    </row>
    <row r="785" customFormat="false" ht="15" hidden="false" customHeight="false" outlineLevel="0" collapsed="false">
      <c r="A785" s="2" t="s">
        <v>26</v>
      </c>
      <c r="B785" s="2" t="n">
        <v>1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58</v>
      </c>
      <c r="K785" s="2" t="s">
        <v>18</v>
      </c>
      <c r="L785" s="2" t="s">
        <v>19</v>
      </c>
      <c r="M785" s="2" t="s">
        <v>20</v>
      </c>
      <c r="N785" s="2" t="n">
        <v>0</v>
      </c>
    </row>
    <row r="786" customFormat="false" ht="15" hidden="false" customHeight="false" outlineLevel="0" collapsed="false">
      <c r="A786" s="2" t="s">
        <v>26</v>
      </c>
      <c r="B786" s="2" t="n">
        <v>1</v>
      </c>
      <c r="C786" s="2" t="n">
        <v>1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80.3</v>
      </c>
      <c r="K786" s="2" t="s">
        <v>15</v>
      </c>
      <c r="L786" s="2" t="s">
        <v>19</v>
      </c>
      <c r="M786" s="2" t="s">
        <v>17</v>
      </c>
      <c r="N786" s="2" t="n">
        <v>0</v>
      </c>
    </row>
    <row r="787" customFormat="false" ht="15" hidden="false" customHeight="false" outlineLevel="0" collapsed="false">
      <c r="A787" s="2" t="s">
        <v>26</v>
      </c>
      <c r="B787" s="2" t="n">
        <v>1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55.7</v>
      </c>
      <c r="K787" s="2" t="s">
        <v>15</v>
      </c>
      <c r="L787" s="2" t="s">
        <v>16</v>
      </c>
      <c r="M787" s="2" t="s">
        <v>20</v>
      </c>
      <c r="N787" s="2" t="n">
        <v>0</v>
      </c>
    </row>
    <row r="788" customFormat="false" ht="15" hidden="false" customHeight="false" outlineLevel="0" collapsed="false">
      <c r="A788" s="2" t="s">
        <v>26</v>
      </c>
      <c r="B788" s="2" t="n">
        <v>1</v>
      </c>
      <c r="C788" s="2" t="n">
        <v>1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84.9</v>
      </c>
      <c r="K788" s="2" t="s">
        <v>15</v>
      </c>
      <c r="L788" s="2" t="s">
        <v>19</v>
      </c>
      <c r="M788" s="2" t="s">
        <v>20</v>
      </c>
      <c r="N788" s="2" t="n">
        <v>0</v>
      </c>
    </row>
    <row r="789" customFormat="false" ht="15" hidden="false" customHeight="false" outlineLevel="0" collapsed="false">
      <c r="A789" s="2" t="s">
        <v>26</v>
      </c>
      <c r="B789" s="2" t="n">
        <v>1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63.3</v>
      </c>
      <c r="K789" s="2" t="s">
        <v>15</v>
      </c>
      <c r="L789" s="2" t="s">
        <v>19</v>
      </c>
      <c r="M789" s="2" t="s">
        <v>20</v>
      </c>
      <c r="N789" s="2" t="n">
        <v>0</v>
      </c>
    </row>
    <row r="790" customFormat="false" ht="15" hidden="false" customHeight="false" outlineLevel="0" collapsed="false">
      <c r="A790" s="2" t="s">
        <v>26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53.1</v>
      </c>
      <c r="K790" s="2" t="s">
        <v>18</v>
      </c>
      <c r="L790" s="2" t="s">
        <v>19</v>
      </c>
      <c r="M790" s="2" t="s">
        <v>20</v>
      </c>
      <c r="N790" s="2" t="n">
        <v>0</v>
      </c>
    </row>
    <row r="791" customFormat="false" ht="15" hidden="false" customHeight="false" outlineLevel="0" collapsed="false">
      <c r="A791" s="2" t="s">
        <v>26</v>
      </c>
      <c r="B791" s="2" t="n">
        <v>0</v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66</v>
      </c>
      <c r="K791" s="2" t="s">
        <v>18</v>
      </c>
      <c r="L791" s="2" t="s">
        <v>19</v>
      </c>
      <c r="M791" s="2" t="s">
        <v>20</v>
      </c>
      <c r="N791" s="2" t="n">
        <v>0</v>
      </c>
    </row>
    <row r="792" customFormat="false" ht="15" hidden="false" customHeight="false" outlineLevel="0" collapsed="false">
      <c r="A792" s="2" t="s">
        <v>26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54.7</v>
      </c>
      <c r="K792" s="2" t="s">
        <v>18</v>
      </c>
      <c r="L792" s="2" t="s">
        <v>19</v>
      </c>
      <c r="M792" s="2" t="s">
        <v>22</v>
      </c>
      <c r="N792" s="2" t="n">
        <v>0</v>
      </c>
    </row>
    <row r="793" customFormat="false" ht="15" hidden="false" customHeight="false" outlineLevel="0" collapsed="false">
      <c r="A793" s="2" t="s">
        <v>26</v>
      </c>
      <c r="B793" s="2" t="n">
        <v>1</v>
      </c>
      <c r="C793" s="2" t="n">
        <v>1</v>
      </c>
      <c r="D793" s="2" t="n">
        <v>0</v>
      </c>
      <c r="E793" s="2" t="n">
        <v>0</v>
      </c>
      <c r="F793" s="2" t="n">
        <v>0</v>
      </c>
      <c r="G793" s="2" t="n">
        <v>1</v>
      </c>
      <c r="H793" s="2" t="n">
        <v>0</v>
      </c>
      <c r="I793" s="2" t="n">
        <v>41.2</v>
      </c>
      <c r="K793" s="2" t="s">
        <v>18</v>
      </c>
      <c r="L793" s="2" t="s">
        <v>19</v>
      </c>
      <c r="M793" s="2" t="s">
        <v>20</v>
      </c>
      <c r="N793" s="2" t="n">
        <v>1</v>
      </c>
    </row>
    <row r="794" customFormat="false" ht="15" hidden="false" customHeight="false" outlineLevel="0" collapsed="false">
      <c r="A794" s="2" t="s">
        <v>26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66.7</v>
      </c>
      <c r="K794" s="2" t="s">
        <v>23</v>
      </c>
      <c r="L794" s="2" t="s">
        <v>19</v>
      </c>
      <c r="M794" s="2" t="s">
        <v>22</v>
      </c>
      <c r="N794" s="2" t="n">
        <v>0</v>
      </c>
    </row>
    <row r="795" customFormat="false" ht="15" hidden="false" customHeight="false" outlineLevel="0" collapsed="false">
      <c r="A795" s="2" t="s">
        <v>26</v>
      </c>
      <c r="B795" s="2" t="n">
        <v>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39.4</v>
      </c>
      <c r="K795" s="2" t="s">
        <v>15</v>
      </c>
      <c r="L795" s="2" t="s">
        <v>19</v>
      </c>
      <c r="M795" s="2" t="s">
        <v>22</v>
      </c>
      <c r="N795" s="2" t="n">
        <v>0</v>
      </c>
    </row>
    <row r="796" customFormat="false" ht="15" hidden="false" customHeight="false" outlineLevel="0" collapsed="false">
      <c r="A796" s="2" t="s">
        <v>26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1</v>
      </c>
      <c r="H796" s="2" t="n">
        <v>0</v>
      </c>
      <c r="I796" s="2" t="n">
        <v>67</v>
      </c>
      <c r="K796" s="2" t="s">
        <v>18</v>
      </c>
      <c r="L796" s="2" t="s">
        <v>16</v>
      </c>
      <c r="M796" s="2" t="s">
        <v>22</v>
      </c>
      <c r="N796" s="2" t="n">
        <v>3</v>
      </c>
    </row>
    <row r="797" customFormat="false" ht="15" hidden="false" customHeight="false" outlineLevel="0" collapsed="false">
      <c r="A797" s="2" t="s">
        <v>26</v>
      </c>
      <c r="B797" s="2" t="n">
        <v>1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50.4</v>
      </c>
      <c r="K797" s="2" t="s">
        <v>23</v>
      </c>
      <c r="L797" s="2" t="s">
        <v>19</v>
      </c>
      <c r="M797" s="2" t="s">
        <v>17</v>
      </c>
      <c r="N797" s="2" t="n">
        <v>0</v>
      </c>
    </row>
    <row r="798" customFormat="false" ht="15" hidden="false" customHeight="false" outlineLevel="0" collapsed="false">
      <c r="A798" s="2" t="s">
        <v>26</v>
      </c>
      <c r="B798" s="2" t="n">
        <v>1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53.8</v>
      </c>
      <c r="K798" s="2" t="s">
        <v>18</v>
      </c>
      <c r="L798" s="2" t="s">
        <v>16</v>
      </c>
      <c r="M798" s="2" t="s">
        <v>20</v>
      </c>
      <c r="N798" s="2" t="n">
        <v>0</v>
      </c>
    </row>
    <row r="799" customFormat="false" ht="15" hidden="false" customHeight="false" outlineLevel="0" collapsed="false">
      <c r="A799" s="2" t="s">
        <v>26</v>
      </c>
      <c r="B799" s="2" t="n">
        <v>0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1</v>
      </c>
      <c r="H799" s="2" t="n">
        <v>0</v>
      </c>
      <c r="I799" s="2" t="n">
        <v>82.7</v>
      </c>
      <c r="K799" s="2" t="s">
        <v>18</v>
      </c>
      <c r="L799" s="2" t="s">
        <v>19</v>
      </c>
      <c r="M799" s="2" t="s">
        <v>17</v>
      </c>
      <c r="N799" s="2" t="n">
        <v>1</v>
      </c>
    </row>
    <row r="800" customFormat="false" ht="15" hidden="false" customHeight="false" outlineLevel="0" collapsed="false">
      <c r="A800" s="2" t="s">
        <v>26</v>
      </c>
      <c r="B800" s="2" t="n">
        <v>1</v>
      </c>
      <c r="C800" s="2" t="n">
        <v>1</v>
      </c>
      <c r="D800" s="2" t="n">
        <v>1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63.9</v>
      </c>
      <c r="K800" s="2" t="s">
        <v>18</v>
      </c>
      <c r="L800" s="2" t="s">
        <v>16</v>
      </c>
      <c r="M800" s="2" t="s">
        <v>20</v>
      </c>
      <c r="N800" s="2" t="n">
        <v>0</v>
      </c>
    </row>
    <row r="801" customFormat="false" ht="15" hidden="false" customHeight="false" outlineLevel="0" collapsed="false">
      <c r="A801" s="2" t="s">
        <v>26</v>
      </c>
      <c r="B801" s="2" t="n">
        <v>1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61.9</v>
      </c>
      <c r="K801" s="2" t="s">
        <v>18</v>
      </c>
      <c r="L801" s="2" t="s">
        <v>19</v>
      </c>
      <c r="M801" s="2" t="s">
        <v>20</v>
      </c>
      <c r="N801" s="2" t="n">
        <v>0</v>
      </c>
    </row>
    <row r="802" customFormat="false" ht="15" hidden="false" customHeight="false" outlineLevel="0" collapsed="false">
      <c r="A802" s="2" t="s">
        <v>26</v>
      </c>
      <c r="B802" s="2" t="n">
        <v>1</v>
      </c>
      <c r="C802" s="2" t="n">
        <v>1</v>
      </c>
      <c r="D802" s="2" t="n">
        <v>1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75</v>
      </c>
      <c r="K802" s="2" t="s">
        <v>15</v>
      </c>
      <c r="L802" s="2" t="s">
        <v>16</v>
      </c>
      <c r="M802" s="2" t="s">
        <v>20</v>
      </c>
      <c r="N802" s="2" t="n">
        <v>0</v>
      </c>
    </row>
    <row r="803" customFormat="false" ht="15" hidden="false" customHeight="false" outlineLevel="0" collapsed="false">
      <c r="A803" s="2" t="s">
        <v>26</v>
      </c>
      <c r="B803" s="2" t="n">
        <v>1</v>
      </c>
      <c r="C803" s="2" t="n">
        <v>1</v>
      </c>
      <c r="D803" s="2" t="n">
        <v>1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43</v>
      </c>
      <c r="K803" s="2" t="s">
        <v>18</v>
      </c>
      <c r="L803" s="2" t="s">
        <v>19</v>
      </c>
      <c r="M803" s="2" t="s">
        <v>17</v>
      </c>
      <c r="N803" s="2" t="n">
        <v>0</v>
      </c>
    </row>
    <row r="804" customFormat="false" ht="15" hidden="false" customHeight="false" outlineLevel="0" collapsed="false">
      <c r="A804" s="2" t="s">
        <v>26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54.3</v>
      </c>
      <c r="K804" s="2" t="s">
        <v>15</v>
      </c>
      <c r="L804" s="2" t="s">
        <v>16</v>
      </c>
      <c r="M804" s="2" t="s">
        <v>22</v>
      </c>
      <c r="N804" s="2" t="n">
        <v>0</v>
      </c>
    </row>
    <row r="805" customFormat="false" ht="15" hidden="false" customHeight="false" outlineLevel="0" collapsed="false">
      <c r="A805" s="2" t="s">
        <v>26</v>
      </c>
      <c r="B805" s="2" t="n">
        <v>0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1</v>
      </c>
      <c r="H805" s="2" t="n">
        <v>0</v>
      </c>
      <c r="I805" s="2" t="n">
        <v>44.3</v>
      </c>
      <c r="K805" s="2" t="s">
        <v>18</v>
      </c>
      <c r="L805" s="2" t="s">
        <v>19</v>
      </c>
      <c r="M805" s="2" t="s">
        <v>20</v>
      </c>
      <c r="N805" s="2" t="n">
        <v>2</v>
      </c>
    </row>
    <row r="806" customFormat="false" ht="15" hidden="false" customHeight="false" outlineLevel="0" collapsed="false">
      <c r="A806" s="2" t="s">
        <v>26</v>
      </c>
      <c r="B806" s="2" t="n">
        <v>1</v>
      </c>
      <c r="C806" s="2" t="n">
        <v>1</v>
      </c>
      <c r="D806" s="2" t="n">
        <v>1</v>
      </c>
      <c r="E806" s="2" t="n">
        <v>1</v>
      </c>
      <c r="F806" s="2" t="n">
        <v>402.88</v>
      </c>
      <c r="G806" s="2" t="n">
        <v>0</v>
      </c>
      <c r="H806" s="2" t="n">
        <v>0</v>
      </c>
      <c r="I806" s="2" t="n">
        <v>76</v>
      </c>
      <c r="J806" s="2" t="n">
        <v>12</v>
      </c>
      <c r="K806" s="2" t="s">
        <v>18</v>
      </c>
      <c r="L806" s="2" t="s">
        <v>16</v>
      </c>
      <c r="M806" s="2" t="s">
        <v>20</v>
      </c>
      <c r="N806" s="2" t="n">
        <v>0</v>
      </c>
    </row>
    <row r="807" customFormat="false" ht="15" hidden="false" customHeight="false" outlineLevel="0" collapsed="false">
      <c r="A807" s="2" t="s">
        <v>26</v>
      </c>
      <c r="B807" s="2" t="n">
        <v>1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1</v>
      </c>
      <c r="H807" s="2" t="n">
        <v>0</v>
      </c>
      <c r="I807" s="2" t="n">
        <v>65.3</v>
      </c>
      <c r="K807" s="2" t="s">
        <v>23</v>
      </c>
      <c r="L807" s="2" t="s">
        <v>24</v>
      </c>
      <c r="M807" s="2" t="s">
        <v>20</v>
      </c>
      <c r="N807" s="2" t="n">
        <v>2</v>
      </c>
    </row>
    <row r="808" customFormat="false" ht="15" hidden="false" customHeight="false" outlineLevel="0" collapsed="false">
      <c r="A808" s="2" t="s">
        <v>26</v>
      </c>
      <c r="B808" s="2" t="n">
        <v>1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71.2</v>
      </c>
      <c r="K808" s="2" t="s">
        <v>23</v>
      </c>
      <c r="L808" s="2" t="s">
        <v>16</v>
      </c>
      <c r="M808" s="2" t="s">
        <v>22</v>
      </c>
      <c r="N808" s="2" t="n">
        <v>0</v>
      </c>
    </row>
    <row r="809" customFormat="false" ht="15" hidden="false" customHeight="false" outlineLevel="0" collapsed="false">
      <c r="A809" s="2" t="s">
        <v>26</v>
      </c>
      <c r="B809" s="2" t="n">
        <v>1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77.9</v>
      </c>
      <c r="K809" s="2" t="s">
        <v>23</v>
      </c>
      <c r="L809" s="2" t="s">
        <v>24</v>
      </c>
      <c r="M809" s="2" t="s">
        <v>20</v>
      </c>
      <c r="N809" s="2" t="n">
        <v>0</v>
      </c>
    </row>
    <row r="810" customFormat="false" ht="15" hidden="false" customHeight="false" outlineLevel="0" collapsed="false">
      <c r="A810" s="2" t="s">
        <v>26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48.6</v>
      </c>
      <c r="K810" s="2" t="s">
        <v>18</v>
      </c>
      <c r="L810" s="2" t="s">
        <v>19</v>
      </c>
      <c r="M810" s="2" t="s">
        <v>20</v>
      </c>
      <c r="N810" s="2" t="n">
        <v>0</v>
      </c>
    </row>
    <row r="811" customFormat="false" ht="15" hidden="false" customHeight="false" outlineLevel="0" collapsed="false">
      <c r="A811" s="2" t="s">
        <v>26</v>
      </c>
      <c r="B811" s="2" t="n">
        <v>1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61.9</v>
      </c>
      <c r="K811" s="2" t="s">
        <v>15</v>
      </c>
      <c r="L811" s="2" t="s">
        <v>19</v>
      </c>
      <c r="M811" s="2" t="s">
        <v>22</v>
      </c>
      <c r="N811" s="2" t="n">
        <v>0</v>
      </c>
    </row>
    <row r="812" customFormat="false" ht="15" hidden="false" customHeight="false" outlineLevel="0" collapsed="false">
      <c r="A812" s="2" t="s">
        <v>26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1</v>
      </c>
      <c r="H812" s="2" t="n">
        <v>0</v>
      </c>
      <c r="I812" s="2" t="n">
        <v>58.7</v>
      </c>
      <c r="K812" s="2" t="s">
        <v>15</v>
      </c>
      <c r="L812" s="2" t="s">
        <v>19</v>
      </c>
      <c r="M812" s="2" t="s">
        <v>17</v>
      </c>
      <c r="N812" s="2" t="n">
        <v>1</v>
      </c>
    </row>
    <row r="813" customFormat="false" ht="15" hidden="false" customHeight="false" outlineLevel="0" collapsed="false">
      <c r="A813" s="2" t="s">
        <v>26</v>
      </c>
      <c r="B813" s="2" t="n">
        <v>1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69.6</v>
      </c>
      <c r="K813" s="2" t="s">
        <v>23</v>
      </c>
      <c r="L813" s="2" t="s">
        <v>16</v>
      </c>
      <c r="M813" s="2" t="s">
        <v>20</v>
      </c>
      <c r="N813" s="2" t="n">
        <v>0</v>
      </c>
    </row>
    <row r="814" customFormat="false" ht="15" hidden="false" customHeight="false" outlineLevel="0" collapsed="false">
      <c r="A814" s="2" t="s">
        <v>26</v>
      </c>
      <c r="B814" s="2" t="n">
        <v>1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51.5</v>
      </c>
      <c r="K814" s="2" t="s">
        <v>23</v>
      </c>
      <c r="L814" s="2" t="s">
        <v>19</v>
      </c>
      <c r="M814" s="2" t="s">
        <v>20</v>
      </c>
      <c r="N814" s="2" t="n">
        <v>0</v>
      </c>
    </row>
    <row r="815" customFormat="false" ht="15" hidden="false" customHeight="false" outlineLevel="0" collapsed="false">
      <c r="A815" s="2" t="s">
        <v>26</v>
      </c>
      <c r="B815" s="2" t="n">
        <v>1</v>
      </c>
      <c r="C815" s="2" t="n">
        <v>1</v>
      </c>
      <c r="D815" s="2" t="n">
        <v>1</v>
      </c>
      <c r="E815" s="2" t="n">
        <v>1</v>
      </c>
      <c r="F815" s="2" t="n">
        <v>277.69</v>
      </c>
      <c r="G815" s="2" t="n">
        <v>1</v>
      </c>
      <c r="H815" s="2" t="n">
        <v>0</v>
      </c>
      <c r="I815" s="2" t="n">
        <v>46</v>
      </c>
      <c r="J815" s="2" t="n">
        <v>8</v>
      </c>
      <c r="K815" s="2" t="s">
        <v>21</v>
      </c>
      <c r="L815" s="2" t="s">
        <v>19</v>
      </c>
      <c r="M815" s="2" t="s">
        <v>20</v>
      </c>
      <c r="N815" s="2" t="n">
        <v>3</v>
      </c>
    </row>
    <row r="816" customFormat="false" ht="15" hidden="false" customHeight="false" outlineLevel="0" collapsed="false">
      <c r="A816" s="2" t="s">
        <v>26</v>
      </c>
      <c r="B816" s="2" t="n">
        <v>1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81.7</v>
      </c>
      <c r="K816" s="2" t="s">
        <v>18</v>
      </c>
      <c r="L816" s="2" t="s">
        <v>24</v>
      </c>
      <c r="M816" s="2" t="s">
        <v>20</v>
      </c>
      <c r="N816" s="2" t="n">
        <v>0</v>
      </c>
    </row>
    <row r="817" customFormat="false" ht="15" hidden="false" customHeight="false" outlineLevel="0" collapsed="false">
      <c r="A817" s="2" t="s">
        <v>26</v>
      </c>
      <c r="B817" s="2" t="n">
        <v>1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48.3</v>
      </c>
      <c r="K817" s="2" t="s">
        <v>21</v>
      </c>
      <c r="L817" s="2" t="s">
        <v>16</v>
      </c>
      <c r="M817" s="2" t="s">
        <v>20</v>
      </c>
      <c r="N817" s="2" t="n">
        <v>0</v>
      </c>
    </row>
    <row r="818" customFormat="false" ht="15" hidden="false" customHeight="false" outlineLevel="0" collapsed="false">
      <c r="A818" s="2" t="s">
        <v>26</v>
      </c>
      <c r="B818" s="2" t="n">
        <v>1</v>
      </c>
      <c r="C818" s="2" t="n">
        <v>1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85.6</v>
      </c>
      <c r="K818" s="2" t="s">
        <v>21</v>
      </c>
      <c r="L818" s="2" t="s">
        <v>19</v>
      </c>
      <c r="M818" s="2" t="s">
        <v>20</v>
      </c>
      <c r="N818" s="2" t="n">
        <v>0</v>
      </c>
    </row>
    <row r="819" customFormat="false" ht="15" hidden="false" customHeight="false" outlineLevel="0" collapsed="false">
      <c r="A819" s="2" t="s">
        <v>26</v>
      </c>
      <c r="B819" s="2" t="n">
        <v>1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53.8</v>
      </c>
      <c r="K819" s="2" t="s">
        <v>18</v>
      </c>
      <c r="L819" s="2" t="s">
        <v>24</v>
      </c>
      <c r="M819" s="2" t="s">
        <v>17</v>
      </c>
      <c r="N819" s="2" t="n">
        <v>0</v>
      </c>
    </row>
    <row r="820" customFormat="false" ht="15" hidden="false" customHeight="false" outlineLevel="0" collapsed="false">
      <c r="A820" s="2" t="s">
        <v>26</v>
      </c>
      <c r="B820" s="2" t="n">
        <v>1</v>
      </c>
      <c r="C820" s="2" t="n">
        <v>1</v>
      </c>
      <c r="D820" s="2" t="n">
        <v>1</v>
      </c>
      <c r="E820" s="2" t="n">
        <v>1</v>
      </c>
      <c r="F820" s="2" t="n">
        <v>460.83</v>
      </c>
      <c r="G820" s="2" t="n">
        <v>1</v>
      </c>
      <c r="H820" s="2" t="n">
        <v>0</v>
      </c>
      <c r="I820" s="2" t="n">
        <v>69.7</v>
      </c>
      <c r="J820" s="2" t="n">
        <v>0</v>
      </c>
      <c r="K820" s="2" t="s">
        <v>23</v>
      </c>
      <c r="L820" s="2" t="s">
        <v>19</v>
      </c>
      <c r="M820" s="2" t="s">
        <v>20</v>
      </c>
      <c r="N820" s="2" t="n">
        <v>2</v>
      </c>
    </row>
    <row r="821" customFormat="false" ht="15" hidden="false" customHeight="false" outlineLevel="0" collapsed="false">
      <c r="A821" s="2" t="s">
        <v>26</v>
      </c>
      <c r="B821" s="2" t="n">
        <v>1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74.8</v>
      </c>
      <c r="K821" s="2" t="s">
        <v>21</v>
      </c>
      <c r="L821" s="2" t="s">
        <v>19</v>
      </c>
      <c r="M821" s="2" t="s">
        <v>20</v>
      </c>
      <c r="N821" s="2" t="n">
        <v>0</v>
      </c>
    </row>
    <row r="822" customFormat="false" ht="15" hidden="false" customHeight="false" outlineLevel="0" collapsed="false">
      <c r="A822" s="2" t="s">
        <v>26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87.9</v>
      </c>
      <c r="K822" s="2" t="s">
        <v>21</v>
      </c>
      <c r="L822" s="2" t="s">
        <v>16</v>
      </c>
      <c r="M822" s="2" t="s">
        <v>17</v>
      </c>
      <c r="N822" s="2" t="n">
        <v>0</v>
      </c>
    </row>
    <row r="823" customFormat="false" ht="15" hidden="false" customHeight="false" outlineLevel="0" collapsed="false">
      <c r="A823" s="2" t="s">
        <v>26</v>
      </c>
      <c r="B823" s="2" t="n">
        <v>1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1</v>
      </c>
      <c r="H823" s="2" t="n">
        <v>0</v>
      </c>
      <c r="I823" s="2" t="n">
        <v>49.1</v>
      </c>
      <c r="K823" s="2" t="s">
        <v>15</v>
      </c>
      <c r="L823" s="2" t="s">
        <v>19</v>
      </c>
      <c r="M823" s="2" t="s">
        <v>17</v>
      </c>
      <c r="N823" s="2" t="n">
        <v>1</v>
      </c>
    </row>
    <row r="824" customFormat="false" ht="15" hidden="false" customHeight="false" outlineLevel="0" collapsed="false">
      <c r="A824" s="2" t="s">
        <v>26</v>
      </c>
      <c r="B824" s="2" t="n">
        <v>1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1</v>
      </c>
      <c r="H824" s="2" t="n">
        <v>0</v>
      </c>
      <c r="I824" s="2" t="n">
        <v>73</v>
      </c>
      <c r="K824" s="2" t="s">
        <v>21</v>
      </c>
      <c r="L824" s="2" t="s">
        <v>16</v>
      </c>
      <c r="M824" s="2" t="s">
        <v>17</v>
      </c>
      <c r="N824" s="2" t="n">
        <v>2</v>
      </c>
    </row>
    <row r="825" customFormat="false" ht="15" hidden="false" customHeight="false" outlineLevel="0" collapsed="false">
      <c r="A825" s="2" t="s">
        <v>26</v>
      </c>
      <c r="B825" s="2" t="n">
        <v>0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79.5</v>
      </c>
      <c r="K825" s="2" t="s">
        <v>18</v>
      </c>
      <c r="L825" s="2" t="s">
        <v>19</v>
      </c>
      <c r="M825" s="2" t="s">
        <v>17</v>
      </c>
      <c r="N825" s="2" t="n">
        <v>0</v>
      </c>
    </row>
    <row r="826" customFormat="false" ht="15" hidden="false" customHeight="false" outlineLevel="0" collapsed="false">
      <c r="A826" s="2" t="s">
        <v>26</v>
      </c>
      <c r="B826" s="2" t="n">
        <v>1</v>
      </c>
      <c r="C826" s="2" t="n">
        <v>1</v>
      </c>
      <c r="D826" s="2" t="n">
        <v>1</v>
      </c>
      <c r="E826" s="2" t="n">
        <v>1</v>
      </c>
      <c r="F826" s="2" t="n">
        <v>782.23</v>
      </c>
      <c r="G826" s="2" t="n">
        <v>1</v>
      </c>
      <c r="H826" s="2" t="n">
        <v>0</v>
      </c>
      <c r="I826" s="2" t="n">
        <v>93.2</v>
      </c>
      <c r="J826" s="2" t="n">
        <v>6</v>
      </c>
      <c r="K826" s="2" t="s">
        <v>18</v>
      </c>
      <c r="L826" s="2" t="s">
        <v>19</v>
      </c>
      <c r="M826" s="2" t="s">
        <v>17</v>
      </c>
      <c r="N826" s="2" t="n">
        <v>1</v>
      </c>
    </row>
    <row r="827" customFormat="false" ht="15" hidden="false" customHeight="false" outlineLevel="0" collapsed="false">
      <c r="A827" s="2" t="s">
        <v>26</v>
      </c>
      <c r="B827" s="2" t="n">
        <v>1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1</v>
      </c>
      <c r="H827" s="2" t="n">
        <v>0</v>
      </c>
      <c r="I827" s="2" t="n">
        <v>77.5</v>
      </c>
      <c r="K827" s="2" t="s">
        <v>21</v>
      </c>
      <c r="L827" s="2" t="s">
        <v>16</v>
      </c>
      <c r="M827" s="2" t="s">
        <v>20</v>
      </c>
      <c r="N827" s="2" t="n">
        <v>3</v>
      </c>
    </row>
    <row r="828" customFormat="false" ht="15" hidden="false" customHeight="false" outlineLevel="0" collapsed="false">
      <c r="A828" s="2" t="s">
        <v>26</v>
      </c>
      <c r="B828" s="2" t="n">
        <v>1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61</v>
      </c>
      <c r="K828" s="2" t="s">
        <v>18</v>
      </c>
      <c r="L828" s="2" t="s">
        <v>19</v>
      </c>
      <c r="M828" s="2" t="s">
        <v>17</v>
      </c>
      <c r="N828" s="2" t="n">
        <v>0</v>
      </c>
    </row>
    <row r="829" customFormat="false" ht="15" hidden="false" customHeight="false" outlineLevel="0" collapsed="false">
      <c r="A829" s="2" t="s">
        <v>26</v>
      </c>
      <c r="B829" s="2" t="n">
        <v>1</v>
      </c>
      <c r="C829" s="2" t="n">
        <v>1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64.9</v>
      </c>
      <c r="K829" s="2" t="s">
        <v>23</v>
      </c>
      <c r="L829" s="2" t="s">
        <v>16</v>
      </c>
      <c r="M829" s="2" t="s">
        <v>20</v>
      </c>
      <c r="N829" s="2" t="n">
        <v>0</v>
      </c>
    </row>
    <row r="830" customFormat="false" ht="15" hidden="false" customHeight="false" outlineLevel="0" collapsed="false">
      <c r="A830" s="2" t="s">
        <v>26</v>
      </c>
      <c r="B830" s="2" t="n">
        <v>1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87.5</v>
      </c>
      <c r="K830" s="2" t="s">
        <v>21</v>
      </c>
      <c r="L830" s="2" t="s">
        <v>19</v>
      </c>
      <c r="M830" s="2" t="s">
        <v>17</v>
      </c>
      <c r="N830" s="2" t="n">
        <v>0</v>
      </c>
    </row>
    <row r="831" customFormat="false" ht="15" hidden="false" customHeight="false" outlineLevel="0" collapsed="false">
      <c r="A831" s="2" t="s">
        <v>26</v>
      </c>
      <c r="B831" s="2" t="n">
        <v>1</v>
      </c>
      <c r="C831" s="2" t="n">
        <v>1</v>
      </c>
      <c r="D831" s="2" t="n">
        <v>1</v>
      </c>
      <c r="E831" s="2" t="n">
        <v>1</v>
      </c>
      <c r="F831" s="2" t="n">
        <v>1171.99</v>
      </c>
      <c r="G831" s="2" t="n">
        <v>0</v>
      </c>
      <c r="H831" s="2" t="n">
        <v>0</v>
      </c>
      <c r="I831" s="2" t="n">
        <v>80.6</v>
      </c>
      <c r="J831" s="2" t="n">
        <v>5</v>
      </c>
      <c r="K831" s="2" t="s">
        <v>15</v>
      </c>
      <c r="L831" s="2" t="s">
        <v>19</v>
      </c>
      <c r="M831" s="2" t="s">
        <v>17</v>
      </c>
      <c r="N831" s="2" t="n">
        <v>0</v>
      </c>
    </row>
    <row r="832" customFormat="false" ht="15" hidden="false" customHeight="false" outlineLevel="0" collapsed="false">
      <c r="A832" s="2" t="s">
        <v>26</v>
      </c>
      <c r="B832" s="2" t="n">
        <v>1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66.9</v>
      </c>
      <c r="K832" s="2" t="s">
        <v>18</v>
      </c>
      <c r="L832" s="2" t="s">
        <v>16</v>
      </c>
      <c r="M832" s="2" t="s">
        <v>20</v>
      </c>
      <c r="N832" s="2" t="n">
        <v>0</v>
      </c>
    </row>
    <row r="833" customFormat="false" ht="15" hidden="false" customHeight="false" outlineLevel="0" collapsed="false">
      <c r="A833" s="2" t="s">
        <v>26</v>
      </c>
      <c r="B833" s="2" t="n">
        <v>1</v>
      </c>
      <c r="C833" s="2" t="n">
        <v>1</v>
      </c>
      <c r="D833" s="2" t="n">
        <v>1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58.8</v>
      </c>
      <c r="K833" s="2" t="s">
        <v>23</v>
      </c>
      <c r="L833" s="2" t="s">
        <v>24</v>
      </c>
      <c r="M833" s="2" t="s">
        <v>17</v>
      </c>
      <c r="N833" s="2" t="n">
        <v>0</v>
      </c>
    </row>
    <row r="834" customFormat="false" ht="15" hidden="false" customHeight="false" outlineLevel="0" collapsed="false">
      <c r="A834" s="2" t="s">
        <v>26</v>
      </c>
      <c r="B834" s="2" t="n">
        <v>1</v>
      </c>
      <c r="C834" s="2" t="n">
        <v>1</v>
      </c>
      <c r="D834" s="2" t="n">
        <v>1</v>
      </c>
      <c r="E834" s="2" t="n">
        <v>1</v>
      </c>
      <c r="F834" s="2" t="n">
        <v>1010.4</v>
      </c>
      <c r="G834" s="2" t="n">
        <v>0</v>
      </c>
      <c r="H834" s="2" t="n">
        <v>0</v>
      </c>
      <c r="I834" s="2" t="n">
        <v>42.9</v>
      </c>
      <c r="J834" s="2" t="n">
        <v>4</v>
      </c>
      <c r="K834" s="2" t="s">
        <v>15</v>
      </c>
      <c r="L834" s="2" t="s">
        <v>16</v>
      </c>
      <c r="M834" s="2" t="s">
        <v>17</v>
      </c>
      <c r="N834" s="2" t="n">
        <v>0</v>
      </c>
    </row>
    <row r="835" customFormat="false" ht="15" hidden="false" customHeight="false" outlineLevel="0" collapsed="false">
      <c r="A835" s="2" t="s">
        <v>26</v>
      </c>
      <c r="B835" s="2" t="n">
        <v>1</v>
      </c>
      <c r="C835" s="2" t="n">
        <v>1</v>
      </c>
      <c r="D835" s="2" t="n">
        <v>1</v>
      </c>
      <c r="E835" s="2" t="n">
        <v>0</v>
      </c>
      <c r="F835" s="2" t="n">
        <v>0</v>
      </c>
      <c r="G835" s="2" t="n">
        <v>1</v>
      </c>
      <c r="H835" s="2" t="n">
        <v>0</v>
      </c>
      <c r="I835" s="2" t="n">
        <v>60.2</v>
      </c>
      <c r="K835" s="2" t="s">
        <v>21</v>
      </c>
      <c r="L835" s="2" t="s">
        <v>19</v>
      </c>
      <c r="M835" s="2" t="s">
        <v>20</v>
      </c>
      <c r="N835" s="2" t="n">
        <v>1</v>
      </c>
    </row>
    <row r="836" customFormat="false" ht="15" hidden="false" customHeight="false" outlineLevel="0" collapsed="false">
      <c r="A836" s="2" t="s">
        <v>26</v>
      </c>
      <c r="B836" s="2" t="n">
        <v>1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42.7</v>
      </c>
      <c r="K836" s="2" t="s">
        <v>21</v>
      </c>
      <c r="L836" s="2" t="s">
        <v>19</v>
      </c>
      <c r="M836" s="2" t="s">
        <v>17</v>
      </c>
      <c r="N836" s="2" t="n">
        <v>0</v>
      </c>
    </row>
    <row r="837" customFormat="false" ht="15" hidden="false" customHeight="false" outlineLevel="0" collapsed="false">
      <c r="A837" s="2" t="s">
        <v>26</v>
      </c>
      <c r="B837" s="2" t="n">
        <v>1</v>
      </c>
      <c r="C837" s="2" t="n">
        <v>1</v>
      </c>
      <c r="D837" s="2" t="n">
        <v>1</v>
      </c>
      <c r="E837" s="2" t="n">
        <v>1</v>
      </c>
      <c r="F837" s="2" t="n">
        <v>431.27</v>
      </c>
      <c r="G837" s="2" t="n">
        <v>0</v>
      </c>
      <c r="H837" s="2" t="n">
        <v>0</v>
      </c>
      <c r="I837" s="2" t="n">
        <v>60.8</v>
      </c>
      <c r="J837" s="2" t="n">
        <v>7</v>
      </c>
      <c r="K837" s="2" t="s">
        <v>15</v>
      </c>
      <c r="L837" s="2" t="s">
        <v>16</v>
      </c>
      <c r="M837" s="2" t="s">
        <v>20</v>
      </c>
      <c r="N837" s="2" t="n">
        <v>0</v>
      </c>
    </row>
    <row r="838" customFormat="false" ht="15" hidden="false" customHeight="false" outlineLevel="0" collapsed="false">
      <c r="A838" s="2" t="s">
        <v>26</v>
      </c>
      <c r="B838" s="2" t="n">
        <v>1</v>
      </c>
      <c r="C838" s="2" t="n">
        <v>1</v>
      </c>
      <c r="D838" s="2" t="n">
        <v>1</v>
      </c>
      <c r="E838" s="2" t="n">
        <v>1</v>
      </c>
      <c r="F838" s="2" t="n">
        <v>428.8</v>
      </c>
      <c r="G838" s="2" t="n">
        <v>0</v>
      </c>
      <c r="H838" s="2" t="n">
        <v>0</v>
      </c>
      <c r="I838" s="2" t="n">
        <v>79.3</v>
      </c>
      <c r="J838" s="2" t="n">
        <v>9</v>
      </c>
      <c r="K838" s="2" t="s">
        <v>23</v>
      </c>
      <c r="L838" s="2" t="s">
        <v>19</v>
      </c>
      <c r="M838" s="2" t="s">
        <v>20</v>
      </c>
      <c r="N838" s="2" t="n">
        <v>0</v>
      </c>
    </row>
    <row r="839" customFormat="false" ht="15" hidden="false" customHeight="false" outlineLevel="0" collapsed="false">
      <c r="A839" s="2" t="s">
        <v>26</v>
      </c>
      <c r="B839" s="2" t="n">
        <v>1</v>
      </c>
      <c r="C839" s="2" t="n">
        <v>0</v>
      </c>
      <c r="D839" s="2" t="n">
        <v>0</v>
      </c>
      <c r="E839" s="2" t="n">
        <v>0</v>
      </c>
      <c r="F839" s="2" t="n">
        <v>0</v>
      </c>
      <c r="G839" s="2" t="n">
        <v>1</v>
      </c>
      <c r="H839" s="2" t="n">
        <v>0</v>
      </c>
      <c r="I839" s="2" t="n">
        <v>88.6</v>
      </c>
      <c r="K839" s="2" t="s">
        <v>23</v>
      </c>
      <c r="L839" s="2" t="s">
        <v>19</v>
      </c>
      <c r="M839" s="2" t="s">
        <v>17</v>
      </c>
      <c r="N839" s="2" t="n">
        <v>1</v>
      </c>
    </row>
    <row r="840" customFormat="false" ht="15" hidden="false" customHeight="false" outlineLevel="0" collapsed="false">
      <c r="A840" s="2" t="s">
        <v>26</v>
      </c>
      <c r="B840" s="2" t="n">
        <v>1</v>
      </c>
      <c r="C840" s="2" t="n">
        <v>1</v>
      </c>
      <c r="D840" s="2" t="n">
        <v>1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63.1</v>
      </c>
      <c r="K840" s="2" t="s">
        <v>18</v>
      </c>
      <c r="L840" s="2" t="s">
        <v>19</v>
      </c>
      <c r="M840" s="2" t="s">
        <v>17</v>
      </c>
      <c r="N840" s="2" t="n">
        <v>0</v>
      </c>
    </row>
    <row r="841" customFormat="false" ht="15" hidden="false" customHeight="false" outlineLevel="0" collapsed="false">
      <c r="A841" s="2" t="s">
        <v>26</v>
      </c>
      <c r="B841" s="2" t="n">
        <v>1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39.7</v>
      </c>
      <c r="K841" s="2" t="s">
        <v>21</v>
      </c>
      <c r="L841" s="2" t="s">
        <v>19</v>
      </c>
      <c r="M841" s="2" t="s">
        <v>22</v>
      </c>
      <c r="N841" s="2" t="n">
        <v>0</v>
      </c>
    </row>
    <row r="842" customFormat="false" ht="15" hidden="false" customHeight="false" outlineLevel="0" collapsed="false">
      <c r="A842" s="2" t="s">
        <v>26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67.2</v>
      </c>
      <c r="K842" s="2" t="s">
        <v>15</v>
      </c>
      <c r="L842" s="2" t="s">
        <v>19</v>
      </c>
      <c r="M842" s="2" t="s">
        <v>17</v>
      </c>
      <c r="N842" s="2" t="n">
        <v>0</v>
      </c>
    </row>
    <row r="843" customFormat="false" ht="15" hidden="false" customHeight="false" outlineLevel="0" collapsed="false">
      <c r="A843" s="2" t="s">
        <v>26</v>
      </c>
      <c r="B843" s="2" t="n">
        <v>1</v>
      </c>
      <c r="C843" s="2" t="n">
        <v>1</v>
      </c>
      <c r="D843" s="2" t="n">
        <v>1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62.3</v>
      </c>
      <c r="K843" s="2" t="s">
        <v>23</v>
      </c>
      <c r="L843" s="2" t="s">
        <v>19</v>
      </c>
      <c r="M843" s="2" t="s">
        <v>20</v>
      </c>
      <c r="N843" s="2" t="n">
        <v>0</v>
      </c>
    </row>
    <row r="844" customFormat="false" ht="15" hidden="false" customHeight="false" outlineLevel="0" collapsed="false">
      <c r="A844" s="2" t="s">
        <v>26</v>
      </c>
      <c r="B844" s="2" t="n">
        <v>1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K844" s="2" t="s">
        <v>23</v>
      </c>
      <c r="L844" s="2" t="s">
        <v>19</v>
      </c>
      <c r="M844" s="2" t="s">
        <v>22</v>
      </c>
      <c r="N844" s="2" t="n">
        <v>0</v>
      </c>
    </row>
    <row r="845" customFormat="false" ht="15" hidden="false" customHeight="false" outlineLevel="0" collapsed="false">
      <c r="A845" s="2" t="s">
        <v>26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60.7</v>
      </c>
      <c r="K845" s="2" t="s">
        <v>23</v>
      </c>
      <c r="L845" s="2" t="s">
        <v>19</v>
      </c>
      <c r="M845" s="2" t="s">
        <v>22</v>
      </c>
      <c r="N845" s="2" t="n">
        <v>0</v>
      </c>
    </row>
    <row r="846" customFormat="false" ht="15" hidden="false" customHeight="false" outlineLevel="0" collapsed="false">
      <c r="A846" s="2" t="s">
        <v>26</v>
      </c>
      <c r="B846" s="2" t="n">
        <v>1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61.5</v>
      </c>
      <c r="K846" s="2" t="s">
        <v>18</v>
      </c>
      <c r="L846" s="2" t="s">
        <v>19</v>
      </c>
      <c r="M846" s="2" t="s">
        <v>17</v>
      </c>
      <c r="N846" s="2" t="n">
        <v>0</v>
      </c>
    </row>
    <row r="847" customFormat="false" ht="15" hidden="false" customHeight="false" outlineLevel="0" collapsed="false">
      <c r="A847" s="2" t="s">
        <v>26</v>
      </c>
      <c r="B847" s="2" t="n">
        <v>1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75</v>
      </c>
      <c r="K847" s="2" t="s">
        <v>15</v>
      </c>
      <c r="L847" s="2" t="s">
        <v>19</v>
      </c>
      <c r="M847" s="2" t="s">
        <v>17</v>
      </c>
      <c r="N847" s="2" t="n">
        <v>0</v>
      </c>
    </row>
    <row r="848" customFormat="false" ht="15" hidden="false" customHeight="false" outlineLevel="0" collapsed="false">
      <c r="A848" s="2" t="s">
        <v>26</v>
      </c>
      <c r="B848" s="2" t="n">
        <v>1</v>
      </c>
      <c r="C848" s="2" t="n">
        <v>1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51.9</v>
      </c>
      <c r="K848" s="2" t="s">
        <v>21</v>
      </c>
      <c r="L848" s="2" t="s">
        <v>16</v>
      </c>
      <c r="M848" s="2" t="s">
        <v>20</v>
      </c>
      <c r="N848" s="2" t="n">
        <v>0</v>
      </c>
    </row>
    <row r="849" customFormat="false" ht="15" hidden="false" customHeight="false" outlineLevel="0" collapsed="false">
      <c r="A849" s="2" t="s">
        <v>26</v>
      </c>
      <c r="B849" s="2" t="n">
        <v>0</v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34.5</v>
      </c>
      <c r="K849" s="2" t="s">
        <v>23</v>
      </c>
      <c r="L849" s="2" t="s">
        <v>16</v>
      </c>
      <c r="M849" s="2" t="s">
        <v>20</v>
      </c>
      <c r="N849" s="2" t="n">
        <v>0</v>
      </c>
    </row>
    <row r="850" customFormat="false" ht="15" hidden="false" customHeight="false" outlineLevel="0" collapsed="false">
      <c r="A850" s="2" t="s">
        <v>26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54.5</v>
      </c>
      <c r="K850" s="2" t="s">
        <v>23</v>
      </c>
      <c r="L850" s="2" t="s">
        <v>19</v>
      </c>
      <c r="M850" s="2" t="s">
        <v>17</v>
      </c>
      <c r="N850" s="2" t="n">
        <v>0</v>
      </c>
    </row>
    <row r="851" customFormat="false" ht="15" hidden="false" customHeight="false" outlineLevel="0" collapsed="false">
      <c r="A851" s="2" t="s">
        <v>26</v>
      </c>
      <c r="B851" s="2" t="n">
        <v>0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46</v>
      </c>
      <c r="K851" s="2" t="s">
        <v>21</v>
      </c>
      <c r="L851" s="2" t="s">
        <v>19</v>
      </c>
      <c r="M851" s="2" t="s">
        <v>20</v>
      </c>
      <c r="N851" s="2" t="n">
        <v>0</v>
      </c>
    </row>
    <row r="852" customFormat="false" ht="15" hidden="false" customHeight="false" outlineLevel="0" collapsed="false">
      <c r="A852" s="2" t="s">
        <v>26</v>
      </c>
      <c r="B852" s="2" t="n">
        <v>1</v>
      </c>
      <c r="C852" s="2" t="n">
        <v>1</v>
      </c>
      <c r="D852" s="2" t="n">
        <v>1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88.4</v>
      </c>
      <c r="K852" s="2" t="s">
        <v>21</v>
      </c>
      <c r="L852" s="2" t="s">
        <v>16</v>
      </c>
      <c r="M852" s="2" t="s">
        <v>20</v>
      </c>
      <c r="N852" s="2" t="n">
        <v>0</v>
      </c>
    </row>
    <row r="853" customFormat="false" ht="15" hidden="false" customHeight="false" outlineLevel="0" collapsed="false">
      <c r="A853" s="2" t="s">
        <v>26</v>
      </c>
      <c r="B853" s="2" t="n">
        <v>1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69.5</v>
      </c>
      <c r="K853" s="2" t="s">
        <v>15</v>
      </c>
      <c r="L853" s="2" t="s">
        <v>24</v>
      </c>
      <c r="M853" s="2" t="s">
        <v>17</v>
      </c>
      <c r="N853" s="2" t="n">
        <v>0</v>
      </c>
    </row>
    <row r="854" customFormat="false" ht="15" hidden="false" customHeight="false" outlineLevel="0" collapsed="false">
      <c r="A854" s="2" t="s">
        <v>26</v>
      </c>
      <c r="B854" s="2" t="n">
        <v>1</v>
      </c>
      <c r="C854" s="2" t="n">
        <v>1</v>
      </c>
      <c r="D854" s="2" t="n">
        <v>1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74.2</v>
      </c>
      <c r="K854" s="2" t="s">
        <v>15</v>
      </c>
      <c r="L854" s="2" t="s">
        <v>16</v>
      </c>
      <c r="M854" s="2" t="s">
        <v>17</v>
      </c>
      <c r="N854" s="2" t="n">
        <v>0</v>
      </c>
    </row>
    <row r="855" customFormat="false" ht="15" hidden="false" customHeight="false" outlineLevel="0" collapsed="false">
      <c r="A855" s="2" t="s">
        <v>26</v>
      </c>
      <c r="B855" s="2" t="n">
        <v>1</v>
      </c>
      <c r="C855" s="2" t="n">
        <v>1</v>
      </c>
      <c r="D855" s="2" t="n">
        <v>1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72.1</v>
      </c>
      <c r="K855" s="2" t="s">
        <v>15</v>
      </c>
      <c r="L855" s="2" t="s">
        <v>19</v>
      </c>
      <c r="M855" s="2" t="s">
        <v>20</v>
      </c>
      <c r="N855" s="2" t="n">
        <v>0</v>
      </c>
    </row>
    <row r="856" customFormat="false" ht="15" hidden="false" customHeight="false" outlineLevel="0" collapsed="false">
      <c r="A856" s="2" t="s">
        <v>26</v>
      </c>
      <c r="B856" s="2" t="n">
        <v>1</v>
      </c>
      <c r="C856" s="2" t="n">
        <v>1</v>
      </c>
      <c r="D856" s="2" t="n">
        <v>1</v>
      </c>
      <c r="E856" s="2" t="n">
        <v>1</v>
      </c>
      <c r="F856" s="2" t="n">
        <v>398.33</v>
      </c>
      <c r="G856" s="2" t="n">
        <v>0</v>
      </c>
      <c r="H856" s="2" t="n">
        <v>0</v>
      </c>
      <c r="I856" s="2" t="n">
        <v>85.1</v>
      </c>
      <c r="J856" s="2" t="n">
        <v>5</v>
      </c>
      <c r="K856" s="2" t="s">
        <v>15</v>
      </c>
      <c r="L856" s="2" t="s">
        <v>19</v>
      </c>
      <c r="M856" s="2" t="s">
        <v>20</v>
      </c>
      <c r="N856" s="2" t="n">
        <v>0</v>
      </c>
    </row>
    <row r="857" customFormat="false" ht="15" hidden="false" customHeight="false" outlineLevel="0" collapsed="false">
      <c r="A857" s="2" t="s">
        <v>26</v>
      </c>
      <c r="B857" s="2" t="n">
        <v>1</v>
      </c>
      <c r="C857" s="2" t="n">
        <v>1</v>
      </c>
      <c r="D857" s="2" t="n">
        <v>1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49.5</v>
      </c>
      <c r="K857" s="2" t="s">
        <v>15</v>
      </c>
      <c r="L857" s="2" t="s">
        <v>19</v>
      </c>
      <c r="M857" s="2" t="s">
        <v>17</v>
      </c>
      <c r="N857" s="2" t="n">
        <v>0</v>
      </c>
    </row>
    <row r="858" customFormat="false" ht="15" hidden="false" customHeight="false" outlineLevel="0" collapsed="false">
      <c r="A858" s="2" t="s">
        <v>26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1</v>
      </c>
      <c r="H858" s="2" t="n">
        <v>0</v>
      </c>
      <c r="I858" s="2" t="n">
        <v>79</v>
      </c>
      <c r="K858" s="2" t="s">
        <v>23</v>
      </c>
      <c r="L858" s="2" t="s">
        <v>19</v>
      </c>
      <c r="M858" s="2" t="s">
        <v>22</v>
      </c>
      <c r="N858" s="2" t="n">
        <v>1</v>
      </c>
    </row>
    <row r="859" customFormat="false" ht="15" hidden="false" customHeight="false" outlineLevel="0" collapsed="false">
      <c r="A859" s="2" t="s">
        <v>26</v>
      </c>
      <c r="B859" s="2" t="n">
        <v>0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71.8</v>
      </c>
      <c r="K859" s="2" t="s">
        <v>18</v>
      </c>
      <c r="L859" s="2" t="s">
        <v>16</v>
      </c>
      <c r="M859" s="2" t="s">
        <v>20</v>
      </c>
      <c r="N859" s="2" t="n">
        <v>0</v>
      </c>
    </row>
    <row r="860" customFormat="false" ht="15" hidden="false" customHeight="false" outlineLevel="0" collapsed="false">
      <c r="A860" s="2" t="s">
        <v>26</v>
      </c>
      <c r="B860" s="2" t="n">
        <v>1</v>
      </c>
      <c r="C860" s="2" t="n">
        <v>1</v>
      </c>
      <c r="D860" s="2" t="n">
        <v>1</v>
      </c>
      <c r="E860" s="2" t="n">
        <v>1</v>
      </c>
      <c r="F860" s="2" t="n">
        <v>1117.54</v>
      </c>
      <c r="G860" s="2" t="n">
        <v>0</v>
      </c>
      <c r="H860" s="2" t="n">
        <v>0</v>
      </c>
      <c r="I860" s="2" t="n">
        <v>60.4</v>
      </c>
      <c r="J860" s="2" t="n">
        <v>6</v>
      </c>
      <c r="K860" s="2" t="s">
        <v>15</v>
      </c>
      <c r="L860" s="2" t="s">
        <v>19</v>
      </c>
      <c r="M860" s="2" t="s">
        <v>17</v>
      </c>
      <c r="N860" s="2" t="n">
        <v>0</v>
      </c>
    </row>
    <row r="861" customFormat="false" ht="15" hidden="false" customHeight="false" outlineLevel="0" collapsed="false">
      <c r="A861" s="2" t="s">
        <v>26</v>
      </c>
      <c r="B861" s="2" t="n">
        <v>1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1</v>
      </c>
      <c r="H861" s="2" t="n">
        <v>0</v>
      </c>
      <c r="I861" s="2" t="n">
        <v>38.3</v>
      </c>
      <c r="K861" s="2" t="s">
        <v>23</v>
      </c>
      <c r="L861" s="2" t="s">
        <v>16</v>
      </c>
      <c r="M861" s="2" t="s">
        <v>17</v>
      </c>
      <c r="N861" s="2" t="n">
        <v>2</v>
      </c>
    </row>
    <row r="862" customFormat="false" ht="15" hidden="false" customHeight="false" outlineLevel="0" collapsed="false">
      <c r="A862" s="2" t="s">
        <v>26</v>
      </c>
      <c r="B862" s="2" t="n">
        <v>1</v>
      </c>
      <c r="C862" s="2" t="n">
        <v>1</v>
      </c>
      <c r="D862" s="2" t="n">
        <v>1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79.6</v>
      </c>
      <c r="K862" s="2" t="s">
        <v>21</v>
      </c>
      <c r="L862" s="2" t="s">
        <v>19</v>
      </c>
      <c r="M862" s="2" t="s">
        <v>20</v>
      </c>
      <c r="N862" s="2" t="n">
        <v>0</v>
      </c>
    </row>
    <row r="863" customFormat="false" ht="15" hidden="false" customHeight="false" outlineLevel="0" collapsed="false">
      <c r="A863" s="2" t="s">
        <v>26</v>
      </c>
      <c r="B863" s="2" t="n">
        <v>1</v>
      </c>
      <c r="C863" s="2" t="n">
        <v>1</v>
      </c>
      <c r="D863" s="2" t="n">
        <v>1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71.9</v>
      </c>
      <c r="K863" s="2" t="s">
        <v>21</v>
      </c>
      <c r="L863" s="2" t="s">
        <v>19</v>
      </c>
      <c r="M863" s="2" t="s">
        <v>20</v>
      </c>
      <c r="N863" s="2" t="n">
        <v>0</v>
      </c>
    </row>
    <row r="864" customFormat="false" ht="15" hidden="false" customHeight="false" outlineLevel="0" collapsed="false">
      <c r="A864" s="2" t="s">
        <v>26</v>
      </c>
      <c r="B864" s="2" t="n">
        <v>1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54.6</v>
      </c>
      <c r="K864" s="2" t="s">
        <v>23</v>
      </c>
      <c r="L864" s="2" t="s">
        <v>19</v>
      </c>
      <c r="M864" s="2" t="s">
        <v>17</v>
      </c>
      <c r="N864" s="2" t="n">
        <v>0</v>
      </c>
    </row>
    <row r="865" customFormat="false" ht="15" hidden="false" customHeight="false" outlineLevel="0" collapsed="false">
      <c r="A865" s="2" t="s">
        <v>26</v>
      </c>
      <c r="B865" s="2" t="n">
        <v>1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1</v>
      </c>
      <c r="H865" s="2" t="n">
        <v>0</v>
      </c>
      <c r="I865" s="2" t="n">
        <v>49.3</v>
      </c>
      <c r="K865" s="2" t="s">
        <v>15</v>
      </c>
      <c r="L865" s="2" t="s">
        <v>16</v>
      </c>
      <c r="M865" s="2" t="s">
        <v>20</v>
      </c>
      <c r="N865" s="2" t="n">
        <v>3</v>
      </c>
    </row>
    <row r="866" customFormat="false" ht="15" hidden="false" customHeight="false" outlineLevel="0" collapsed="false">
      <c r="A866" s="2" t="s">
        <v>26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1</v>
      </c>
      <c r="H866" s="2" t="n">
        <v>0</v>
      </c>
      <c r="I866" s="2" t="n">
        <v>66.9</v>
      </c>
      <c r="K866" s="2" t="s">
        <v>15</v>
      </c>
      <c r="L866" s="2" t="s">
        <v>19</v>
      </c>
      <c r="M866" s="2" t="s">
        <v>17</v>
      </c>
      <c r="N866" s="2" t="n">
        <v>1</v>
      </c>
    </row>
    <row r="867" customFormat="false" ht="15" hidden="false" customHeight="false" outlineLevel="0" collapsed="false">
      <c r="A867" s="2" t="s">
        <v>26</v>
      </c>
      <c r="B867" s="2" t="n">
        <v>1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1</v>
      </c>
      <c r="H867" s="2" t="n">
        <v>0</v>
      </c>
      <c r="I867" s="2" t="n">
        <v>77.8</v>
      </c>
      <c r="K867" s="2" t="s">
        <v>21</v>
      </c>
      <c r="L867" s="2" t="s">
        <v>19</v>
      </c>
      <c r="M867" s="2" t="s">
        <v>20</v>
      </c>
      <c r="N867" s="2" t="n">
        <v>1</v>
      </c>
    </row>
    <row r="868" customFormat="false" ht="15" hidden="false" customHeight="false" outlineLevel="0" collapsed="false">
      <c r="A868" s="2" t="s">
        <v>26</v>
      </c>
      <c r="B868" s="2" t="n">
        <v>1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63</v>
      </c>
      <c r="K868" s="2" t="s">
        <v>23</v>
      </c>
      <c r="L868" s="2" t="s">
        <v>19</v>
      </c>
      <c r="M868" s="2" t="s">
        <v>17</v>
      </c>
      <c r="N868" s="2" t="n">
        <v>0</v>
      </c>
    </row>
    <row r="869" customFormat="false" ht="15" hidden="false" customHeight="false" outlineLevel="0" collapsed="false">
      <c r="A869" s="2" t="s">
        <v>26</v>
      </c>
      <c r="B869" s="2" t="n">
        <v>0</v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79.8</v>
      </c>
      <c r="K869" s="2" t="s">
        <v>15</v>
      </c>
      <c r="L869" s="2" t="s">
        <v>19</v>
      </c>
      <c r="M869" s="2" t="s">
        <v>20</v>
      </c>
      <c r="N869" s="2" t="n">
        <v>0</v>
      </c>
    </row>
    <row r="870" customFormat="false" ht="15" hidden="false" customHeight="false" outlineLevel="0" collapsed="false">
      <c r="A870" s="2" t="s">
        <v>26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69.9</v>
      </c>
      <c r="K870" s="2" t="s">
        <v>18</v>
      </c>
      <c r="L870" s="2" t="s">
        <v>16</v>
      </c>
      <c r="M870" s="2" t="s">
        <v>17</v>
      </c>
      <c r="N870" s="2" t="n">
        <v>0</v>
      </c>
    </row>
    <row r="871" customFormat="false" ht="15" hidden="false" customHeight="false" outlineLevel="0" collapsed="false">
      <c r="A871" s="2" t="s">
        <v>26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1</v>
      </c>
      <c r="H871" s="2" t="n">
        <v>0</v>
      </c>
      <c r="I871" s="2" t="n">
        <v>66.4</v>
      </c>
      <c r="K871" s="2" t="s">
        <v>18</v>
      </c>
      <c r="L871" s="2" t="s">
        <v>19</v>
      </c>
      <c r="M871" s="2" t="s">
        <v>20</v>
      </c>
      <c r="N871" s="2" t="n">
        <v>1</v>
      </c>
    </row>
    <row r="872" customFormat="false" ht="15" hidden="false" customHeight="false" outlineLevel="0" collapsed="false">
      <c r="A872" s="2" t="s">
        <v>26</v>
      </c>
      <c r="B872" s="2" t="n">
        <v>1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27.6</v>
      </c>
      <c r="K872" s="2" t="s">
        <v>21</v>
      </c>
      <c r="L872" s="2" t="s">
        <v>19</v>
      </c>
      <c r="M872" s="2" t="s">
        <v>20</v>
      </c>
      <c r="N872" s="2" t="n">
        <v>0</v>
      </c>
    </row>
    <row r="873" customFormat="false" ht="15" hidden="false" customHeight="false" outlineLevel="0" collapsed="false">
      <c r="A873" s="2" t="s">
        <v>26</v>
      </c>
      <c r="B873" s="2" t="n">
        <v>1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1</v>
      </c>
      <c r="H873" s="2" t="n">
        <v>0</v>
      </c>
      <c r="I873" s="2" t="n">
        <v>56.5</v>
      </c>
      <c r="K873" s="2" t="s">
        <v>18</v>
      </c>
      <c r="L873" s="2" t="s">
        <v>19</v>
      </c>
      <c r="M873" s="2" t="s">
        <v>22</v>
      </c>
      <c r="N873" s="2" t="n">
        <v>1</v>
      </c>
    </row>
    <row r="874" customFormat="false" ht="15" hidden="false" customHeight="false" outlineLevel="0" collapsed="false">
      <c r="A874" s="2" t="s">
        <v>26</v>
      </c>
      <c r="B874" s="2" t="n">
        <v>1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67.8</v>
      </c>
      <c r="K874" s="2" t="s">
        <v>18</v>
      </c>
      <c r="L874" s="2" t="s">
        <v>25</v>
      </c>
      <c r="M874" s="2" t="s">
        <v>20</v>
      </c>
      <c r="N874" s="2" t="n">
        <v>0</v>
      </c>
    </row>
    <row r="875" customFormat="false" ht="15" hidden="false" customHeight="false" outlineLevel="0" collapsed="false">
      <c r="A875" s="2" t="s">
        <v>26</v>
      </c>
      <c r="B875" s="2" t="n">
        <v>1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80</v>
      </c>
      <c r="K875" s="2" t="s">
        <v>18</v>
      </c>
      <c r="L875" s="2" t="s">
        <v>16</v>
      </c>
      <c r="M875" s="2" t="s">
        <v>20</v>
      </c>
      <c r="N875" s="2" t="n">
        <v>0</v>
      </c>
    </row>
    <row r="876" customFormat="false" ht="15" hidden="false" customHeight="false" outlineLevel="0" collapsed="false">
      <c r="A876" s="2" t="s">
        <v>26</v>
      </c>
      <c r="B876" s="2" t="n">
        <v>1</v>
      </c>
      <c r="C876" s="2" t="n">
        <v>1</v>
      </c>
      <c r="D876" s="2" t="n">
        <v>1</v>
      </c>
      <c r="E876" s="2" t="n">
        <v>0</v>
      </c>
      <c r="F876" s="2" t="n">
        <v>0</v>
      </c>
      <c r="G876" s="2" t="n">
        <v>1</v>
      </c>
      <c r="H876" s="2" t="n">
        <v>0</v>
      </c>
      <c r="I876" s="2" t="n">
        <v>80.9</v>
      </c>
      <c r="K876" s="2" t="s">
        <v>23</v>
      </c>
      <c r="L876" s="2" t="s">
        <v>19</v>
      </c>
      <c r="M876" s="2" t="s">
        <v>17</v>
      </c>
      <c r="N876" s="2" t="n">
        <v>1</v>
      </c>
    </row>
    <row r="877" customFormat="false" ht="15" hidden="false" customHeight="false" outlineLevel="0" collapsed="false">
      <c r="A877" s="2" t="s">
        <v>26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34.5</v>
      </c>
      <c r="K877" s="2" t="s">
        <v>18</v>
      </c>
      <c r="L877" s="2" t="s">
        <v>19</v>
      </c>
      <c r="M877" s="2" t="s">
        <v>20</v>
      </c>
      <c r="N877" s="2" t="n">
        <v>0</v>
      </c>
    </row>
    <row r="878" customFormat="false" ht="15" hidden="false" customHeight="false" outlineLevel="0" collapsed="false">
      <c r="A878" s="2" t="s">
        <v>26</v>
      </c>
      <c r="B878" s="2" t="n">
        <v>1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73.5</v>
      </c>
      <c r="K878" s="2" t="s">
        <v>21</v>
      </c>
      <c r="L878" s="2" t="s">
        <v>16</v>
      </c>
      <c r="M878" s="2" t="s">
        <v>22</v>
      </c>
      <c r="N878" s="2" t="n">
        <v>0</v>
      </c>
    </row>
    <row r="879" customFormat="false" ht="15" hidden="false" customHeight="false" outlineLevel="0" collapsed="false">
      <c r="A879" s="2" t="s">
        <v>26</v>
      </c>
      <c r="B879" s="2" t="n">
        <v>1</v>
      </c>
      <c r="C879" s="2" t="n">
        <v>1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70</v>
      </c>
      <c r="K879" s="2" t="s">
        <v>23</v>
      </c>
      <c r="L879" s="2" t="s">
        <v>16</v>
      </c>
      <c r="M879" s="2" t="s">
        <v>20</v>
      </c>
      <c r="N879" s="2" t="n">
        <v>0</v>
      </c>
    </row>
    <row r="880" customFormat="false" ht="15" hidden="false" customHeight="false" outlineLevel="0" collapsed="false">
      <c r="A880" s="2" t="s">
        <v>26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86.9</v>
      </c>
      <c r="K880" s="2" t="s">
        <v>18</v>
      </c>
      <c r="L880" s="2" t="s">
        <v>19</v>
      </c>
      <c r="M880" s="2" t="s">
        <v>17</v>
      </c>
      <c r="N880" s="2" t="n">
        <v>0</v>
      </c>
    </row>
    <row r="881" customFormat="false" ht="15" hidden="false" customHeight="false" outlineLevel="0" collapsed="false">
      <c r="A881" s="2" t="s">
        <v>26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66.9</v>
      </c>
      <c r="K881" s="2" t="s">
        <v>21</v>
      </c>
      <c r="L881" s="2" t="s">
        <v>19</v>
      </c>
      <c r="M881" s="2" t="s">
        <v>17</v>
      </c>
      <c r="N881" s="2" t="n">
        <v>0</v>
      </c>
    </row>
    <row r="882" customFormat="false" ht="15" hidden="false" customHeight="false" outlineLevel="0" collapsed="false">
      <c r="A882" s="2" t="s">
        <v>26</v>
      </c>
      <c r="B882" s="2" t="n">
        <v>1</v>
      </c>
      <c r="C882" s="2" t="n">
        <v>1</v>
      </c>
      <c r="D882" s="2" t="n">
        <v>1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58.3</v>
      </c>
      <c r="K882" s="2" t="s">
        <v>23</v>
      </c>
      <c r="L882" s="2" t="s">
        <v>16</v>
      </c>
      <c r="M882" s="2" t="s">
        <v>17</v>
      </c>
      <c r="N882" s="2" t="n">
        <v>0</v>
      </c>
    </row>
    <row r="883" customFormat="false" ht="15" hidden="false" customHeight="false" outlineLevel="0" collapsed="false">
      <c r="A883" s="2" t="s">
        <v>26</v>
      </c>
      <c r="B883" s="2" t="n">
        <v>1</v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45</v>
      </c>
      <c r="K883" s="2" t="s">
        <v>21</v>
      </c>
      <c r="L883" s="2" t="s">
        <v>19</v>
      </c>
      <c r="M883" s="2" t="s">
        <v>20</v>
      </c>
      <c r="N883" s="2" t="n">
        <v>0</v>
      </c>
    </row>
    <row r="884" customFormat="false" ht="15" hidden="false" customHeight="false" outlineLevel="0" collapsed="false">
      <c r="A884" s="2" t="s">
        <v>26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60.8</v>
      </c>
      <c r="K884" s="2" t="s">
        <v>23</v>
      </c>
      <c r="L884" s="2" t="s">
        <v>19</v>
      </c>
      <c r="M884" s="2" t="s">
        <v>22</v>
      </c>
      <c r="N884" s="2" t="n">
        <v>0</v>
      </c>
    </row>
    <row r="885" customFormat="false" ht="15" hidden="false" customHeight="false" outlineLevel="0" collapsed="false">
      <c r="A885" s="2" t="s">
        <v>26</v>
      </c>
      <c r="B885" s="2" t="n">
        <v>1</v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1</v>
      </c>
      <c r="H885" s="2" t="n">
        <v>0</v>
      </c>
      <c r="I885" s="2" t="n">
        <v>53.7</v>
      </c>
      <c r="K885" s="2" t="s">
        <v>15</v>
      </c>
      <c r="L885" s="2" t="s">
        <v>19</v>
      </c>
      <c r="M885" s="2" t="s">
        <v>22</v>
      </c>
      <c r="N885" s="2" t="n">
        <v>4</v>
      </c>
    </row>
    <row r="886" customFormat="false" ht="15" hidden="false" customHeight="false" outlineLevel="0" collapsed="false">
      <c r="A886" s="2" t="s">
        <v>26</v>
      </c>
      <c r="B886" s="2" t="n">
        <v>1</v>
      </c>
      <c r="C886" s="2" t="n">
        <v>1</v>
      </c>
      <c r="D886" s="2" t="n">
        <v>1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48.8</v>
      </c>
      <c r="K886" s="2" t="s">
        <v>21</v>
      </c>
      <c r="L886" s="2" t="s">
        <v>19</v>
      </c>
      <c r="M886" s="2" t="s">
        <v>20</v>
      </c>
      <c r="N886" s="2" t="n">
        <v>0</v>
      </c>
    </row>
    <row r="887" customFormat="false" ht="15" hidden="false" customHeight="false" outlineLevel="0" collapsed="false">
      <c r="A887" s="2" t="s">
        <v>26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52.9</v>
      </c>
      <c r="K887" s="2" t="s">
        <v>18</v>
      </c>
      <c r="L887" s="2" t="s">
        <v>16</v>
      </c>
      <c r="M887" s="2" t="s">
        <v>17</v>
      </c>
      <c r="N887" s="2" t="n">
        <v>0</v>
      </c>
    </row>
    <row r="888" customFormat="false" ht="15" hidden="false" customHeight="false" outlineLevel="0" collapsed="false">
      <c r="A888" s="2" t="s">
        <v>26</v>
      </c>
      <c r="B888" s="2" t="n">
        <v>1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42.4</v>
      </c>
      <c r="K888" s="2" t="s">
        <v>23</v>
      </c>
      <c r="L888" s="2" t="s">
        <v>19</v>
      </c>
      <c r="M888" s="2" t="s">
        <v>20</v>
      </c>
      <c r="N888" s="2" t="n">
        <v>0</v>
      </c>
    </row>
    <row r="889" customFormat="false" ht="15" hidden="false" customHeight="false" outlineLevel="0" collapsed="false">
      <c r="A889" s="2" t="s">
        <v>26</v>
      </c>
      <c r="B889" s="2" t="n">
        <v>1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58.7</v>
      </c>
      <c r="K889" s="2" t="s">
        <v>21</v>
      </c>
      <c r="L889" s="2" t="s">
        <v>16</v>
      </c>
      <c r="M889" s="2" t="s">
        <v>20</v>
      </c>
      <c r="N889" s="2" t="n">
        <v>0</v>
      </c>
    </row>
    <row r="890" customFormat="false" ht="15" hidden="false" customHeight="false" outlineLevel="0" collapsed="false">
      <c r="A890" s="2" t="s">
        <v>26</v>
      </c>
      <c r="B890" s="2" t="n">
        <v>1</v>
      </c>
      <c r="C890" s="2" t="n">
        <v>1</v>
      </c>
      <c r="D890" s="2" t="n">
        <v>1</v>
      </c>
      <c r="E890" s="2" t="n">
        <v>1</v>
      </c>
      <c r="F890" s="2" t="n">
        <v>2064.55</v>
      </c>
      <c r="G890" s="2" t="n">
        <v>0</v>
      </c>
      <c r="H890" s="2" t="n">
        <v>0</v>
      </c>
      <c r="I890" s="2" t="n">
        <v>67.8</v>
      </c>
      <c r="J890" s="2" t="n">
        <v>1</v>
      </c>
      <c r="K890" s="2" t="s">
        <v>15</v>
      </c>
      <c r="L890" s="2" t="s">
        <v>19</v>
      </c>
      <c r="M890" s="2" t="s">
        <v>20</v>
      </c>
      <c r="N890" s="2" t="n">
        <v>0</v>
      </c>
    </row>
    <row r="891" customFormat="false" ht="15" hidden="false" customHeight="false" outlineLevel="0" collapsed="false">
      <c r="A891" s="2" t="s">
        <v>26</v>
      </c>
      <c r="B891" s="2" t="n">
        <v>1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62.6</v>
      </c>
      <c r="K891" s="2" t="s">
        <v>23</v>
      </c>
      <c r="L891" s="2" t="s">
        <v>16</v>
      </c>
      <c r="M891" s="2" t="s">
        <v>17</v>
      </c>
      <c r="N891" s="2" t="n">
        <v>0</v>
      </c>
    </row>
    <row r="892" customFormat="false" ht="15" hidden="false" customHeight="false" outlineLevel="0" collapsed="false">
      <c r="A892" s="2" t="s">
        <v>26</v>
      </c>
      <c r="B892" s="2" t="n">
        <v>1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82.4</v>
      </c>
      <c r="K892" s="2" t="s">
        <v>18</v>
      </c>
      <c r="L892" s="2" t="s">
        <v>19</v>
      </c>
      <c r="M892" s="2" t="s">
        <v>17</v>
      </c>
      <c r="N892" s="2" t="n">
        <v>0</v>
      </c>
    </row>
    <row r="893" customFormat="false" ht="15" hidden="false" customHeight="false" outlineLevel="0" collapsed="false">
      <c r="A893" s="2" t="s">
        <v>26</v>
      </c>
      <c r="B893" s="2" t="n">
        <v>1</v>
      </c>
      <c r="C893" s="2" t="n">
        <v>1</v>
      </c>
      <c r="D893" s="2" t="n">
        <v>1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50.4</v>
      </c>
      <c r="K893" s="2" t="s">
        <v>15</v>
      </c>
      <c r="L893" s="2" t="s">
        <v>19</v>
      </c>
      <c r="M893" s="2" t="s">
        <v>20</v>
      </c>
      <c r="N893" s="2" t="n">
        <v>0</v>
      </c>
    </row>
    <row r="894" customFormat="false" ht="15" hidden="false" customHeight="false" outlineLevel="0" collapsed="false">
      <c r="A894" s="2" t="s">
        <v>26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68.4</v>
      </c>
      <c r="K894" s="2" t="s">
        <v>15</v>
      </c>
      <c r="L894" s="2" t="s">
        <v>19</v>
      </c>
      <c r="M894" s="2" t="s">
        <v>22</v>
      </c>
      <c r="N894" s="2" t="n">
        <v>0</v>
      </c>
    </row>
    <row r="895" customFormat="false" ht="15" hidden="false" customHeight="false" outlineLevel="0" collapsed="false">
      <c r="A895" s="2" t="s">
        <v>26</v>
      </c>
      <c r="B895" s="2" t="n">
        <v>1</v>
      </c>
      <c r="C895" s="2" t="n">
        <v>1</v>
      </c>
      <c r="D895" s="2" t="n">
        <v>1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58.8</v>
      </c>
      <c r="K895" s="2" t="s">
        <v>18</v>
      </c>
      <c r="L895" s="2" t="s">
        <v>24</v>
      </c>
      <c r="M895" s="2" t="s">
        <v>17</v>
      </c>
      <c r="N895" s="2" t="n">
        <v>0</v>
      </c>
    </row>
    <row r="896" customFormat="false" ht="15" hidden="false" customHeight="false" outlineLevel="0" collapsed="false">
      <c r="A896" s="2" t="s">
        <v>26</v>
      </c>
      <c r="B896" s="2" t="n">
        <v>1</v>
      </c>
      <c r="C896" s="2" t="n">
        <v>1</v>
      </c>
      <c r="D896" s="2" t="n">
        <v>0</v>
      </c>
      <c r="E896" s="2" t="n">
        <v>0</v>
      </c>
      <c r="F896" s="2" t="n">
        <v>0</v>
      </c>
      <c r="G896" s="2" t="n">
        <v>1</v>
      </c>
      <c r="H896" s="2" t="n">
        <v>0</v>
      </c>
      <c r="I896" s="2" t="n">
        <v>28.3</v>
      </c>
      <c r="K896" s="2" t="s">
        <v>18</v>
      </c>
      <c r="L896" s="2" t="s">
        <v>19</v>
      </c>
      <c r="M896" s="2" t="s">
        <v>20</v>
      </c>
      <c r="N896" s="2" t="n">
        <v>2</v>
      </c>
    </row>
    <row r="897" customFormat="false" ht="15" hidden="false" customHeight="false" outlineLevel="0" collapsed="false">
      <c r="A897" s="2" t="s">
        <v>26</v>
      </c>
      <c r="B897" s="2" t="n">
        <v>1</v>
      </c>
      <c r="C897" s="2" t="n">
        <v>1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44.1</v>
      </c>
      <c r="K897" s="2" t="s">
        <v>18</v>
      </c>
      <c r="L897" s="2" t="s">
        <v>16</v>
      </c>
      <c r="M897" s="2" t="s">
        <v>20</v>
      </c>
      <c r="N897" s="2" t="n">
        <v>0</v>
      </c>
    </row>
    <row r="898" customFormat="false" ht="15" hidden="false" customHeight="false" outlineLevel="0" collapsed="false">
      <c r="A898" s="2" t="s">
        <v>26</v>
      </c>
      <c r="B898" s="2" t="n">
        <v>1</v>
      </c>
      <c r="C898" s="2" t="n">
        <v>1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66.7</v>
      </c>
      <c r="K898" s="2" t="s">
        <v>23</v>
      </c>
      <c r="L898" s="2" t="s">
        <v>19</v>
      </c>
      <c r="M898" s="2" t="s">
        <v>22</v>
      </c>
      <c r="N898" s="2" t="n">
        <v>0</v>
      </c>
    </row>
    <row r="899" customFormat="false" ht="15" hidden="false" customHeight="false" outlineLevel="0" collapsed="false">
      <c r="A899" s="2" t="s">
        <v>26</v>
      </c>
      <c r="B899" s="2" t="n">
        <v>1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100</v>
      </c>
      <c r="K899" s="2" t="s">
        <v>23</v>
      </c>
      <c r="L899" s="2" t="s">
        <v>19</v>
      </c>
      <c r="M899" s="2" t="s">
        <v>20</v>
      </c>
      <c r="N899" s="2" t="n">
        <v>0</v>
      </c>
    </row>
    <row r="900" customFormat="false" ht="15" hidden="false" customHeight="false" outlineLevel="0" collapsed="false">
      <c r="A900" s="2" t="s">
        <v>26</v>
      </c>
      <c r="B900" s="2" t="n">
        <v>1</v>
      </c>
      <c r="C900" s="2" t="n">
        <v>1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87.5</v>
      </c>
      <c r="K900" s="2" t="s">
        <v>23</v>
      </c>
      <c r="L900" s="2" t="s">
        <v>19</v>
      </c>
      <c r="M900" s="2" t="s">
        <v>20</v>
      </c>
      <c r="N900" s="2" t="n">
        <v>0</v>
      </c>
    </row>
    <row r="901" customFormat="false" ht="15" hidden="false" customHeight="false" outlineLevel="0" collapsed="false">
      <c r="A901" s="2" t="s">
        <v>26</v>
      </c>
      <c r="B901" s="2" t="n">
        <v>1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1</v>
      </c>
      <c r="H901" s="2" t="n">
        <v>0</v>
      </c>
      <c r="I901" s="2" t="n">
        <v>65.4</v>
      </c>
      <c r="K901" s="2" t="s">
        <v>15</v>
      </c>
      <c r="L901" s="2" t="s">
        <v>16</v>
      </c>
      <c r="M901" s="2" t="s">
        <v>17</v>
      </c>
      <c r="N901" s="2" t="n">
        <v>2</v>
      </c>
    </row>
    <row r="902" customFormat="false" ht="15" hidden="false" customHeight="false" outlineLevel="0" collapsed="false">
      <c r="A902" s="2" t="s">
        <v>26</v>
      </c>
      <c r="B902" s="2" t="n">
        <v>1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22.9</v>
      </c>
      <c r="K902" s="2" t="s">
        <v>23</v>
      </c>
      <c r="L902" s="2" t="s">
        <v>16</v>
      </c>
      <c r="M902" s="2" t="s">
        <v>20</v>
      </c>
      <c r="N902" s="2" t="n">
        <v>0</v>
      </c>
    </row>
    <row r="903" customFormat="false" ht="15" hidden="false" customHeight="false" outlineLevel="0" collapsed="false">
      <c r="A903" s="2" t="s">
        <v>26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64.6</v>
      </c>
      <c r="K903" s="2" t="s">
        <v>18</v>
      </c>
      <c r="L903" s="2" t="s">
        <v>16</v>
      </c>
      <c r="M903" s="2" t="s">
        <v>22</v>
      </c>
      <c r="N903" s="2" t="n">
        <v>0</v>
      </c>
    </row>
    <row r="904" customFormat="false" ht="15" hidden="false" customHeight="false" outlineLevel="0" collapsed="false">
      <c r="A904" s="2" t="s">
        <v>26</v>
      </c>
      <c r="B904" s="2" t="n">
        <v>1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1</v>
      </c>
      <c r="H904" s="2" t="n">
        <v>0</v>
      </c>
      <c r="I904" s="2" t="n">
        <v>54.4</v>
      </c>
      <c r="K904" s="2" t="s">
        <v>23</v>
      </c>
      <c r="L904" s="2" t="s">
        <v>19</v>
      </c>
      <c r="M904" s="2" t="s">
        <v>20</v>
      </c>
      <c r="N904" s="2" t="n">
        <v>2</v>
      </c>
    </row>
    <row r="905" customFormat="false" ht="15" hidden="false" customHeight="false" outlineLevel="0" collapsed="false">
      <c r="A905" s="2" t="s">
        <v>26</v>
      </c>
      <c r="B905" s="2" t="n">
        <v>1</v>
      </c>
      <c r="C905" s="2" t="n">
        <v>1</v>
      </c>
      <c r="D905" s="2" t="n">
        <v>1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56.8</v>
      </c>
      <c r="K905" s="2" t="s">
        <v>15</v>
      </c>
      <c r="L905" s="2" t="s">
        <v>16</v>
      </c>
      <c r="M905" s="2" t="s">
        <v>20</v>
      </c>
      <c r="N905" s="2" t="n">
        <v>0</v>
      </c>
    </row>
    <row r="906" customFormat="false" ht="15" hidden="false" customHeight="false" outlineLevel="0" collapsed="false">
      <c r="A906" s="2" t="s">
        <v>26</v>
      </c>
      <c r="B906" s="2" t="n">
        <v>1</v>
      </c>
      <c r="C906" s="2" t="n">
        <v>1</v>
      </c>
      <c r="D906" s="2" t="n">
        <v>1</v>
      </c>
      <c r="E906" s="2" t="n">
        <v>1</v>
      </c>
      <c r="F906" s="2" t="n">
        <v>341.38</v>
      </c>
      <c r="G906" s="2" t="n">
        <v>0</v>
      </c>
      <c r="H906" s="2" t="n">
        <v>0</v>
      </c>
      <c r="I906" s="2" t="n">
        <v>63.6</v>
      </c>
      <c r="J906" s="2" t="n">
        <v>2</v>
      </c>
      <c r="K906" s="2" t="s">
        <v>23</v>
      </c>
      <c r="L906" s="2" t="s">
        <v>19</v>
      </c>
      <c r="M906" s="2" t="s">
        <v>20</v>
      </c>
      <c r="N906" s="2" t="n">
        <v>0</v>
      </c>
    </row>
    <row r="907" customFormat="false" ht="15" hidden="false" customHeight="false" outlineLevel="0" collapsed="false">
      <c r="A907" s="2" t="s">
        <v>26</v>
      </c>
      <c r="B907" s="2" t="n">
        <v>1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58.2</v>
      </c>
      <c r="K907" s="2" t="s">
        <v>21</v>
      </c>
      <c r="L907" s="2" t="s">
        <v>19</v>
      </c>
      <c r="M907" s="2" t="s">
        <v>20</v>
      </c>
      <c r="N907" s="2" t="n">
        <v>0</v>
      </c>
    </row>
    <row r="908" customFormat="false" ht="15" hidden="false" customHeight="false" outlineLevel="0" collapsed="false">
      <c r="A908" s="2" t="s">
        <v>26</v>
      </c>
      <c r="B908" s="2" t="n">
        <v>1</v>
      </c>
      <c r="C908" s="2" t="n">
        <v>1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54.6</v>
      </c>
      <c r="K908" s="2" t="s">
        <v>18</v>
      </c>
      <c r="L908" s="2" t="s">
        <v>19</v>
      </c>
      <c r="M908" s="2" t="s">
        <v>20</v>
      </c>
      <c r="N908" s="2" t="n">
        <v>0</v>
      </c>
    </row>
    <row r="909" customFormat="false" ht="15" hidden="false" customHeight="false" outlineLevel="0" collapsed="false">
      <c r="A909" s="2" t="s">
        <v>26</v>
      </c>
      <c r="B909" s="2" t="n">
        <v>1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81.9</v>
      </c>
      <c r="K909" s="2" t="s">
        <v>18</v>
      </c>
      <c r="L909" s="2" t="s">
        <v>24</v>
      </c>
      <c r="M909" s="2" t="s">
        <v>17</v>
      </c>
      <c r="N909" s="2" t="n">
        <v>0</v>
      </c>
    </row>
    <row r="910" customFormat="false" ht="15" hidden="false" customHeight="false" outlineLevel="0" collapsed="false">
      <c r="A910" s="2" t="s">
        <v>26</v>
      </c>
      <c r="B910" s="2" t="n">
        <v>1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1</v>
      </c>
      <c r="H910" s="2" t="n">
        <v>0</v>
      </c>
      <c r="I910" s="2" t="n">
        <v>53.3</v>
      </c>
      <c r="K910" s="2" t="s">
        <v>18</v>
      </c>
      <c r="L910" s="2" t="s">
        <v>16</v>
      </c>
      <c r="M910" s="2" t="s">
        <v>20</v>
      </c>
      <c r="N910" s="2" t="n">
        <v>3</v>
      </c>
    </row>
    <row r="911" customFormat="false" ht="15" hidden="false" customHeight="false" outlineLevel="0" collapsed="false">
      <c r="A911" s="2" t="s">
        <v>26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54.2</v>
      </c>
      <c r="K911" s="2" t="s">
        <v>15</v>
      </c>
      <c r="L911" s="2" t="s">
        <v>16</v>
      </c>
      <c r="M911" s="2" t="s">
        <v>17</v>
      </c>
      <c r="N911" s="2" t="n">
        <v>0</v>
      </c>
    </row>
    <row r="912" customFormat="false" ht="15" hidden="false" customHeight="false" outlineLevel="0" collapsed="false">
      <c r="A912" s="2" t="s">
        <v>26</v>
      </c>
      <c r="B912" s="2" t="n">
        <v>1</v>
      </c>
      <c r="C912" s="2" t="n">
        <v>1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65.6</v>
      </c>
      <c r="K912" s="2" t="s">
        <v>15</v>
      </c>
      <c r="L912" s="2" t="s">
        <v>19</v>
      </c>
      <c r="M912" s="2" t="s">
        <v>20</v>
      </c>
      <c r="N912" s="2" t="n">
        <v>0</v>
      </c>
    </row>
    <row r="913" customFormat="false" ht="15" hidden="false" customHeight="false" outlineLevel="0" collapsed="false">
      <c r="A913" s="2" t="s">
        <v>26</v>
      </c>
      <c r="B913" s="2" t="n">
        <v>1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1</v>
      </c>
      <c r="H913" s="2" t="n">
        <v>0</v>
      </c>
      <c r="I913" s="2" t="n">
        <v>56.5</v>
      </c>
      <c r="K913" s="2" t="s">
        <v>21</v>
      </c>
      <c r="L913" s="2" t="s">
        <v>16</v>
      </c>
      <c r="M913" s="2" t="s">
        <v>17</v>
      </c>
      <c r="N913" s="2" t="n">
        <v>1</v>
      </c>
    </row>
    <row r="914" customFormat="false" ht="15" hidden="false" customHeight="false" outlineLevel="0" collapsed="false">
      <c r="A914" s="2" t="s">
        <v>26</v>
      </c>
      <c r="B914" s="2" t="n">
        <v>1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59.7</v>
      </c>
      <c r="K914" s="2" t="s">
        <v>15</v>
      </c>
      <c r="L914" s="2" t="s">
        <v>16</v>
      </c>
      <c r="M914" s="2" t="s">
        <v>17</v>
      </c>
      <c r="N914" s="2" t="n">
        <v>0</v>
      </c>
    </row>
    <row r="915" customFormat="false" ht="15" hidden="false" customHeight="false" outlineLevel="0" collapsed="false">
      <c r="A915" s="2" t="s">
        <v>26</v>
      </c>
      <c r="B915" s="2" t="n">
        <v>1</v>
      </c>
      <c r="C915" s="2" t="n">
        <v>1</v>
      </c>
      <c r="D915" s="2" t="n">
        <v>1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72.5</v>
      </c>
      <c r="K915" s="2" t="s">
        <v>23</v>
      </c>
      <c r="L915" s="2" t="s">
        <v>19</v>
      </c>
      <c r="M915" s="2" t="s">
        <v>20</v>
      </c>
      <c r="N915" s="2" t="n">
        <v>0</v>
      </c>
    </row>
    <row r="916" customFormat="false" ht="15" hidden="false" customHeight="false" outlineLevel="0" collapsed="false">
      <c r="A916" s="2" t="s">
        <v>26</v>
      </c>
      <c r="B916" s="2" t="n">
        <v>1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64.3</v>
      </c>
      <c r="K916" s="2" t="s">
        <v>21</v>
      </c>
      <c r="L916" s="2" t="s">
        <v>16</v>
      </c>
      <c r="M916" s="2" t="s">
        <v>20</v>
      </c>
      <c r="N916" s="2" t="n">
        <v>0</v>
      </c>
    </row>
    <row r="917" customFormat="false" ht="15" hidden="false" customHeight="false" outlineLevel="0" collapsed="false">
      <c r="A917" s="2" t="s">
        <v>26</v>
      </c>
      <c r="B917" s="2" t="n">
        <v>1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64.5</v>
      </c>
      <c r="K917" s="2" t="s">
        <v>23</v>
      </c>
      <c r="L917" s="2" t="s">
        <v>19</v>
      </c>
      <c r="M917" s="2" t="s">
        <v>20</v>
      </c>
      <c r="N917" s="2" t="n">
        <v>0</v>
      </c>
    </row>
    <row r="918" customFormat="false" ht="15" hidden="false" customHeight="false" outlineLevel="0" collapsed="false">
      <c r="A918" s="2" t="s">
        <v>26</v>
      </c>
      <c r="B918" s="2" t="n">
        <v>1</v>
      </c>
      <c r="C918" s="2" t="n">
        <v>1</v>
      </c>
      <c r="D918" s="2" t="n">
        <v>1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70.6</v>
      </c>
      <c r="K918" s="2" t="s">
        <v>18</v>
      </c>
      <c r="L918" s="2" t="s">
        <v>16</v>
      </c>
      <c r="M918" s="2" t="s">
        <v>17</v>
      </c>
      <c r="N918" s="2" t="n">
        <v>0</v>
      </c>
    </row>
    <row r="919" customFormat="false" ht="15" hidden="false" customHeight="false" outlineLevel="0" collapsed="false">
      <c r="A919" s="2" t="s">
        <v>26</v>
      </c>
      <c r="B919" s="2" t="n">
        <v>0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58.4</v>
      </c>
      <c r="K919" s="2" t="s">
        <v>23</v>
      </c>
      <c r="L919" s="2" t="s">
        <v>16</v>
      </c>
      <c r="M919" s="2" t="s">
        <v>17</v>
      </c>
      <c r="N919" s="2" t="n">
        <v>0</v>
      </c>
    </row>
    <row r="920" customFormat="false" ht="15" hidden="false" customHeight="false" outlineLevel="0" collapsed="false">
      <c r="A920" s="2" t="s">
        <v>26</v>
      </c>
      <c r="B920" s="2" t="n">
        <v>1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56.6</v>
      </c>
      <c r="K920" s="2" t="s">
        <v>21</v>
      </c>
      <c r="L920" s="2" t="s">
        <v>19</v>
      </c>
      <c r="M920" s="2" t="s">
        <v>17</v>
      </c>
      <c r="N920" s="2" t="n">
        <v>0</v>
      </c>
    </row>
    <row r="921" customFormat="false" ht="15" hidden="false" customHeight="false" outlineLevel="0" collapsed="false">
      <c r="A921" s="2" t="s">
        <v>26</v>
      </c>
      <c r="B921" s="2" t="n">
        <v>1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61.8</v>
      </c>
      <c r="K921" s="2" t="s">
        <v>23</v>
      </c>
      <c r="L921" s="2" t="s">
        <v>19</v>
      </c>
      <c r="M921" s="2" t="s">
        <v>20</v>
      </c>
      <c r="N921" s="2" t="n">
        <v>0</v>
      </c>
    </row>
    <row r="922" customFormat="false" ht="15" hidden="false" customHeight="false" outlineLevel="0" collapsed="false">
      <c r="A922" s="2" t="s">
        <v>26</v>
      </c>
      <c r="B922" s="2" t="n">
        <v>1</v>
      </c>
      <c r="C922" s="2" t="n">
        <v>1</v>
      </c>
      <c r="D922" s="2" t="n">
        <v>1</v>
      </c>
      <c r="E922" s="2" t="n">
        <v>1</v>
      </c>
      <c r="F922" s="2" t="n">
        <v>513.52</v>
      </c>
      <c r="G922" s="2" t="n">
        <v>0</v>
      </c>
      <c r="H922" s="2" t="n">
        <v>0</v>
      </c>
      <c r="I922" s="2" t="n">
        <v>43.4</v>
      </c>
      <c r="J922" s="2" t="n">
        <v>8</v>
      </c>
      <c r="K922" s="2" t="s">
        <v>18</v>
      </c>
      <c r="L922" s="2" t="s">
        <v>19</v>
      </c>
      <c r="M922" s="2" t="s">
        <v>20</v>
      </c>
      <c r="N922" s="2" t="n">
        <v>0</v>
      </c>
    </row>
    <row r="923" customFormat="false" ht="15" hidden="false" customHeight="false" outlineLevel="0" collapsed="false">
      <c r="A923" s="2" t="s">
        <v>26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43</v>
      </c>
      <c r="K923" s="2" t="s">
        <v>18</v>
      </c>
      <c r="L923" s="2" t="s">
        <v>24</v>
      </c>
      <c r="M923" s="2" t="s">
        <v>20</v>
      </c>
      <c r="N923" s="2" t="n">
        <v>0</v>
      </c>
    </row>
    <row r="924" customFormat="false" ht="15" hidden="false" customHeight="false" outlineLevel="0" collapsed="false">
      <c r="A924" s="2" t="s">
        <v>26</v>
      </c>
      <c r="B924" s="2" t="n">
        <v>1</v>
      </c>
      <c r="C924" s="2" t="n">
        <v>1</v>
      </c>
      <c r="D924" s="2" t="n">
        <v>1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51.1</v>
      </c>
      <c r="K924" s="2" t="s">
        <v>15</v>
      </c>
      <c r="L924" s="2" t="s">
        <v>16</v>
      </c>
      <c r="M924" s="2" t="s">
        <v>20</v>
      </c>
      <c r="N924" s="2" t="n">
        <v>0</v>
      </c>
    </row>
    <row r="925" customFormat="false" ht="15" hidden="false" customHeight="false" outlineLevel="0" collapsed="false">
      <c r="A925" s="2" t="s">
        <v>26</v>
      </c>
      <c r="B925" s="2" t="n">
        <v>1</v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48.8</v>
      </c>
      <c r="K925" s="2" t="s">
        <v>18</v>
      </c>
      <c r="L925" s="2" t="s">
        <v>19</v>
      </c>
      <c r="M925" s="2" t="s">
        <v>17</v>
      </c>
      <c r="N925" s="2" t="n">
        <v>0</v>
      </c>
    </row>
    <row r="926" customFormat="false" ht="15" hidden="false" customHeight="false" outlineLevel="0" collapsed="false">
      <c r="A926" s="2" t="s">
        <v>26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73.2</v>
      </c>
      <c r="K926" s="2" t="s">
        <v>21</v>
      </c>
      <c r="L926" s="2" t="s">
        <v>19</v>
      </c>
      <c r="M926" s="2" t="s">
        <v>20</v>
      </c>
      <c r="N926" s="2" t="n">
        <v>0</v>
      </c>
    </row>
    <row r="927" customFormat="false" ht="15" hidden="false" customHeight="false" outlineLevel="0" collapsed="false">
      <c r="A927" s="2" t="s">
        <v>26</v>
      </c>
      <c r="B927" s="2" t="n">
        <v>1</v>
      </c>
      <c r="C927" s="2" t="n">
        <v>1</v>
      </c>
      <c r="D927" s="2" t="n">
        <v>1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80</v>
      </c>
      <c r="K927" s="2" t="s">
        <v>21</v>
      </c>
      <c r="L927" s="2" t="s">
        <v>19</v>
      </c>
      <c r="M927" s="2" t="s">
        <v>20</v>
      </c>
      <c r="N927" s="2" t="n">
        <v>0</v>
      </c>
    </row>
    <row r="928" customFormat="false" ht="15" hidden="false" customHeight="false" outlineLevel="0" collapsed="false">
      <c r="A928" s="2" t="s">
        <v>26</v>
      </c>
      <c r="B928" s="2" t="n">
        <v>1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52.3</v>
      </c>
      <c r="K928" s="2" t="s">
        <v>15</v>
      </c>
      <c r="L928" s="2" t="s">
        <v>16</v>
      </c>
      <c r="M928" s="2" t="s">
        <v>20</v>
      </c>
      <c r="N928" s="2" t="n">
        <v>0</v>
      </c>
    </row>
    <row r="929" customFormat="false" ht="15" hidden="false" customHeight="false" outlineLevel="0" collapsed="false">
      <c r="A929" s="2" t="s">
        <v>26</v>
      </c>
      <c r="B929" s="2" t="n">
        <v>0</v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49.1</v>
      </c>
      <c r="K929" s="2" t="s">
        <v>15</v>
      </c>
      <c r="L929" s="2" t="s">
        <v>16</v>
      </c>
      <c r="M929" s="2" t="s">
        <v>20</v>
      </c>
      <c r="N929" s="2" t="n">
        <v>0</v>
      </c>
    </row>
    <row r="930" customFormat="false" ht="15" hidden="false" customHeight="false" outlineLevel="0" collapsed="false">
      <c r="A930" s="2" t="s">
        <v>26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45.3</v>
      </c>
      <c r="K930" s="2" t="s">
        <v>23</v>
      </c>
      <c r="L930" s="2" t="s">
        <v>16</v>
      </c>
      <c r="M930" s="2" t="s">
        <v>17</v>
      </c>
      <c r="N930" s="2" t="n">
        <v>0</v>
      </c>
    </row>
    <row r="931" customFormat="false" ht="15" hidden="false" customHeight="false" outlineLevel="0" collapsed="false">
      <c r="A931" s="2" t="s">
        <v>26</v>
      </c>
      <c r="B931" s="2" t="n">
        <v>1</v>
      </c>
      <c r="C931" s="2" t="n">
        <v>1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49.1</v>
      </c>
      <c r="K931" s="2" t="s">
        <v>23</v>
      </c>
      <c r="L931" s="2" t="s">
        <v>19</v>
      </c>
      <c r="M931" s="2" t="s">
        <v>20</v>
      </c>
      <c r="N931" s="2" t="n">
        <v>0</v>
      </c>
    </row>
    <row r="932" customFormat="false" ht="15" hidden="false" customHeight="false" outlineLevel="0" collapsed="false">
      <c r="A932" s="2" t="s">
        <v>26</v>
      </c>
      <c r="B932" s="2" t="n">
        <v>1</v>
      </c>
      <c r="C932" s="2" t="n">
        <v>1</v>
      </c>
      <c r="D932" s="2" t="n">
        <v>1</v>
      </c>
      <c r="E932" s="2" t="n">
        <v>1</v>
      </c>
      <c r="F932" s="2" t="n">
        <v>476.44</v>
      </c>
      <c r="G932" s="2" t="n">
        <v>0</v>
      </c>
      <c r="H932" s="2" t="n">
        <v>0</v>
      </c>
      <c r="I932" s="2" t="n">
        <v>88.6</v>
      </c>
      <c r="J932" s="2" t="n">
        <v>3</v>
      </c>
      <c r="K932" s="2" t="s">
        <v>21</v>
      </c>
      <c r="L932" s="2" t="s">
        <v>16</v>
      </c>
      <c r="M932" s="2" t="s">
        <v>20</v>
      </c>
      <c r="N932" s="2" t="n">
        <v>0</v>
      </c>
    </row>
    <row r="933" customFormat="false" ht="15" hidden="false" customHeight="false" outlineLevel="0" collapsed="false">
      <c r="A933" s="2" t="s">
        <v>26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1</v>
      </c>
      <c r="H933" s="2" t="n">
        <v>0</v>
      </c>
      <c r="I933" s="2" t="n">
        <v>54.4</v>
      </c>
      <c r="K933" s="2" t="s">
        <v>21</v>
      </c>
      <c r="L933" s="2" t="s">
        <v>16</v>
      </c>
      <c r="M933" s="2" t="s">
        <v>22</v>
      </c>
      <c r="N933" s="2" t="n">
        <v>1</v>
      </c>
    </row>
    <row r="934" customFormat="false" ht="15" hidden="false" customHeight="false" outlineLevel="0" collapsed="false">
      <c r="A934" s="2" t="s">
        <v>26</v>
      </c>
      <c r="B934" s="2" t="n">
        <v>1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72.9</v>
      </c>
      <c r="K934" s="2" t="s">
        <v>18</v>
      </c>
      <c r="L934" s="2" t="s">
        <v>16</v>
      </c>
      <c r="M934" s="2" t="s">
        <v>22</v>
      </c>
      <c r="N934" s="2" t="n">
        <v>0</v>
      </c>
    </row>
    <row r="935" customFormat="false" ht="15" hidden="false" customHeight="false" outlineLevel="0" collapsed="false">
      <c r="A935" s="2" t="s">
        <v>26</v>
      </c>
      <c r="B935" s="2" t="n">
        <v>1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53.2</v>
      </c>
      <c r="K935" s="2" t="s">
        <v>18</v>
      </c>
      <c r="L935" s="2" t="s">
        <v>16</v>
      </c>
      <c r="M935" s="2" t="s">
        <v>20</v>
      </c>
      <c r="N935" s="2" t="n">
        <v>0</v>
      </c>
    </row>
    <row r="936" customFormat="false" ht="15" hidden="false" customHeight="false" outlineLevel="0" collapsed="false">
      <c r="A936" s="2" t="s">
        <v>26</v>
      </c>
      <c r="B936" s="2" t="n">
        <v>1</v>
      </c>
      <c r="C936" s="2" t="n">
        <v>1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48.7</v>
      </c>
      <c r="K936" s="2" t="s">
        <v>21</v>
      </c>
      <c r="L936" s="2" t="s">
        <v>19</v>
      </c>
      <c r="M936" s="2" t="s">
        <v>17</v>
      </c>
      <c r="N936" s="2" t="n">
        <v>0</v>
      </c>
    </row>
    <row r="937" customFormat="false" ht="15" hidden="false" customHeight="false" outlineLevel="0" collapsed="false">
      <c r="A937" s="2" t="s">
        <v>26</v>
      </c>
      <c r="B937" s="2" t="n">
        <v>1</v>
      </c>
      <c r="C937" s="2" t="n">
        <v>1</v>
      </c>
      <c r="D937" s="2" t="n">
        <v>1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59.9</v>
      </c>
      <c r="K937" s="2" t="s">
        <v>23</v>
      </c>
      <c r="L937" s="2" t="s">
        <v>19</v>
      </c>
      <c r="M937" s="2" t="s">
        <v>17</v>
      </c>
      <c r="N937" s="2" t="n">
        <v>0</v>
      </c>
    </row>
    <row r="938" customFormat="false" ht="15" hidden="false" customHeight="false" outlineLevel="0" collapsed="false">
      <c r="A938" s="2" t="s">
        <v>26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82</v>
      </c>
      <c r="K938" s="2" t="s">
        <v>23</v>
      </c>
      <c r="L938" s="2" t="s">
        <v>16</v>
      </c>
      <c r="M938" s="2" t="s">
        <v>17</v>
      </c>
      <c r="N938" s="2" t="n">
        <v>0</v>
      </c>
    </row>
    <row r="939" customFormat="false" ht="15" hidden="false" customHeight="false" outlineLevel="0" collapsed="false">
      <c r="A939" s="2" t="s">
        <v>26</v>
      </c>
      <c r="B939" s="2" t="n">
        <v>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72.1</v>
      </c>
      <c r="K939" s="2" t="s">
        <v>21</v>
      </c>
      <c r="L939" s="2" t="s">
        <v>19</v>
      </c>
      <c r="M939" s="2" t="s">
        <v>20</v>
      </c>
      <c r="N939" s="2" t="n">
        <v>0</v>
      </c>
    </row>
    <row r="940" customFormat="false" ht="15" hidden="false" customHeight="false" outlineLevel="0" collapsed="false">
      <c r="A940" s="2" t="s">
        <v>26</v>
      </c>
      <c r="B940" s="2" t="n">
        <v>1</v>
      </c>
      <c r="C940" s="2" t="n">
        <v>1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68.3</v>
      </c>
      <c r="K940" s="2" t="s">
        <v>15</v>
      </c>
      <c r="L940" s="2" t="s">
        <v>16</v>
      </c>
      <c r="M940" s="2" t="s">
        <v>22</v>
      </c>
      <c r="N940" s="2" t="n">
        <v>0</v>
      </c>
    </row>
    <row r="941" customFormat="false" ht="15" hidden="false" customHeight="false" outlineLevel="0" collapsed="false">
      <c r="A941" s="2" t="s">
        <v>26</v>
      </c>
      <c r="B941" s="2" t="n">
        <v>0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100</v>
      </c>
      <c r="K941" s="2" t="s">
        <v>18</v>
      </c>
      <c r="L941" s="2" t="s">
        <v>19</v>
      </c>
      <c r="M941" s="2" t="s">
        <v>22</v>
      </c>
      <c r="N941" s="2" t="n">
        <v>0</v>
      </c>
    </row>
    <row r="942" customFormat="false" ht="15" hidden="false" customHeight="false" outlineLevel="0" collapsed="false">
      <c r="A942" s="2" t="s">
        <v>26</v>
      </c>
      <c r="B942" s="2" t="n">
        <v>1</v>
      </c>
      <c r="C942" s="2" t="n">
        <v>1</v>
      </c>
      <c r="D942" s="2" t="n">
        <v>1</v>
      </c>
      <c r="E942" s="2" t="n">
        <v>0</v>
      </c>
      <c r="F942" s="2" t="n">
        <v>0</v>
      </c>
      <c r="G942" s="2" t="n">
        <v>1</v>
      </c>
      <c r="H942" s="2" t="n">
        <v>0</v>
      </c>
      <c r="I942" s="2" t="n">
        <v>76.5</v>
      </c>
      <c r="K942" s="2" t="s">
        <v>21</v>
      </c>
      <c r="L942" s="2" t="s">
        <v>19</v>
      </c>
      <c r="M942" s="2" t="s">
        <v>20</v>
      </c>
      <c r="N942" s="2" t="n">
        <v>2</v>
      </c>
    </row>
    <row r="943" customFormat="false" ht="15" hidden="false" customHeight="false" outlineLevel="0" collapsed="false">
      <c r="A943" s="2" t="s">
        <v>26</v>
      </c>
      <c r="B943" s="2" t="n">
        <v>1</v>
      </c>
      <c r="C943" s="2" t="n">
        <v>1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62</v>
      </c>
      <c r="K943" s="2" t="s">
        <v>23</v>
      </c>
      <c r="L943" s="2" t="s">
        <v>19</v>
      </c>
      <c r="M943" s="2" t="s">
        <v>17</v>
      </c>
      <c r="N943" s="2" t="n">
        <v>0</v>
      </c>
    </row>
    <row r="944" customFormat="false" ht="15" hidden="false" customHeight="false" outlineLevel="0" collapsed="false">
      <c r="A944" s="2" t="s">
        <v>26</v>
      </c>
      <c r="B944" s="2" t="n">
        <v>1</v>
      </c>
      <c r="C944" s="2" t="n">
        <v>1</v>
      </c>
      <c r="D944" s="2" t="n">
        <v>1</v>
      </c>
      <c r="E944" s="2" t="n">
        <v>1</v>
      </c>
      <c r="F944" s="2" t="n">
        <v>324.68</v>
      </c>
      <c r="G944" s="2" t="n">
        <v>1</v>
      </c>
      <c r="H944" s="2" t="n">
        <v>0</v>
      </c>
      <c r="I944" s="2" t="n">
        <v>50.1</v>
      </c>
      <c r="J944" s="2" t="n">
        <v>7</v>
      </c>
      <c r="K944" s="2" t="s">
        <v>23</v>
      </c>
      <c r="L944" s="2" t="s">
        <v>19</v>
      </c>
      <c r="M944" s="2" t="s">
        <v>20</v>
      </c>
      <c r="N944" s="2" t="n">
        <v>1</v>
      </c>
    </row>
    <row r="945" customFormat="false" ht="15" hidden="false" customHeight="false" outlineLevel="0" collapsed="false">
      <c r="A945" s="2" t="s">
        <v>26</v>
      </c>
      <c r="B945" s="2" t="n">
        <v>1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62.1</v>
      </c>
      <c r="K945" s="2" t="s">
        <v>23</v>
      </c>
      <c r="L945" s="2" t="s">
        <v>19</v>
      </c>
      <c r="M945" s="2" t="s">
        <v>22</v>
      </c>
      <c r="N945" s="2" t="n">
        <v>0</v>
      </c>
    </row>
    <row r="946" customFormat="false" ht="15" hidden="false" customHeight="false" outlineLevel="0" collapsed="false">
      <c r="A946" s="2" t="s">
        <v>26</v>
      </c>
      <c r="B946" s="2" t="n">
        <v>1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49.7</v>
      </c>
      <c r="K946" s="2" t="s">
        <v>18</v>
      </c>
      <c r="L946" s="2" t="s">
        <v>19</v>
      </c>
      <c r="M946" s="2" t="s">
        <v>17</v>
      </c>
      <c r="N946" s="2" t="n">
        <v>0</v>
      </c>
    </row>
    <row r="947" customFormat="false" ht="15" hidden="false" customHeight="false" outlineLevel="0" collapsed="false">
      <c r="A947" s="2" t="s">
        <v>26</v>
      </c>
      <c r="B947" s="2" t="n">
        <v>1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1</v>
      </c>
      <c r="H947" s="2" t="n">
        <v>0</v>
      </c>
      <c r="I947" s="2" t="n">
        <v>71.1</v>
      </c>
      <c r="K947" s="2" t="s">
        <v>23</v>
      </c>
      <c r="L947" s="2" t="s">
        <v>19</v>
      </c>
      <c r="M947" s="2" t="s">
        <v>20</v>
      </c>
      <c r="N947" s="2" t="n">
        <v>3</v>
      </c>
    </row>
    <row r="948" customFormat="false" ht="15" hidden="false" customHeight="false" outlineLevel="0" collapsed="false">
      <c r="A948" s="2" t="s">
        <v>26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70.8</v>
      </c>
      <c r="K948" s="2" t="s">
        <v>15</v>
      </c>
      <c r="L948" s="2" t="s">
        <v>19</v>
      </c>
      <c r="M948" s="2" t="s">
        <v>17</v>
      </c>
      <c r="N948" s="2" t="n">
        <v>0</v>
      </c>
    </row>
    <row r="949" customFormat="false" ht="15" hidden="false" customHeight="false" outlineLevel="0" collapsed="false">
      <c r="A949" s="2" t="s">
        <v>26</v>
      </c>
      <c r="B949" s="2" t="n">
        <v>1</v>
      </c>
      <c r="C949" s="2" t="n">
        <v>1</v>
      </c>
      <c r="D949" s="2" t="n">
        <v>1</v>
      </c>
      <c r="E949" s="2" t="n">
        <v>1</v>
      </c>
      <c r="F949" s="2" t="n">
        <v>301.98</v>
      </c>
      <c r="G949" s="2" t="n">
        <v>0</v>
      </c>
      <c r="H949" s="2" t="n">
        <v>0</v>
      </c>
      <c r="I949" s="2" t="n">
        <v>52.2</v>
      </c>
      <c r="J949" s="2" t="n">
        <v>10</v>
      </c>
      <c r="K949" s="2" t="s">
        <v>21</v>
      </c>
      <c r="L949" s="2" t="s">
        <v>19</v>
      </c>
      <c r="M949" s="2" t="s">
        <v>20</v>
      </c>
      <c r="N949" s="2" t="n">
        <v>0</v>
      </c>
    </row>
    <row r="950" customFormat="false" ht="15" hidden="false" customHeight="false" outlineLevel="0" collapsed="false">
      <c r="A950" s="2" t="s">
        <v>26</v>
      </c>
      <c r="B950" s="2" t="n">
        <v>1</v>
      </c>
      <c r="C950" s="2" t="n">
        <v>1</v>
      </c>
      <c r="D950" s="2" t="n">
        <v>1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73</v>
      </c>
      <c r="K950" s="2" t="s">
        <v>15</v>
      </c>
      <c r="L950" s="2" t="s">
        <v>19</v>
      </c>
      <c r="M950" s="2" t="s">
        <v>20</v>
      </c>
      <c r="N950" s="2" t="n">
        <v>0</v>
      </c>
    </row>
    <row r="951" customFormat="false" ht="15" hidden="false" customHeight="false" outlineLevel="0" collapsed="false">
      <c r="A951" s="2" t="s">
        <v>26</v>
      </c>
      <c r="B951" s="2" t="n">
        <v>0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78.2</v>
      </c>
      <c r="K951" s="2" t="s">
        <v>23</v>
      </c>
      <c r="L951" s="2" t="s">
        <v>16</v>
      </c>
      <c r="M951" s="2" t="s">
        <v>20</v>
      </c>
      <c r="N951" s="2" t="n">
        <v>0</v>
      </c>
    </row>
    <row r="952" customFormat="false" ht="15" hidden="false" customHeight="false" outlineLevel="0" collapsed="false">
      <c r="A952" s="2" t="s">
        <v>26</v>
      </c>
      <c r="B952" s="2" t="n">
        <v>1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68.8</v>
      </c>
      <c r="K952" s="2" t="s">
        <v>18</v>
      </c>
      <c r="L952" s="2" t="s">
        <v>16</v>
      </c>
      <c r="M952" s="2" t="s">
        <v>17</v>
      </c>
      <c r="N952" s="2" t="n">
        <v>0</v>
      </c>
    </row>
    <row r="953" customFormat="false" ht="15" hidden="false" customHeight="false" outlineLevel="0" collapsed="false">
      <c r="A953" s="2" t="s">
        <v>26</v>
      </c>
      <c r="B953" s="2" t="n">
        <v>1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57.1</v>
      </c>
      <c r="K953" s="2" t="s">
        <v>18</v>
      </c>
      <c r="L953" s="2" t="s">
        <v>19</v>
      </c>
      <c r="M953" s="2" t="s">
        <v>22</v>
      </c>
      <c r="N953" s="2" t="n">
        <v>0</v>
      </c>
    </row>
    <row r="954" customFormat="false" ht="15" hidden="false" customHeight="false" outlineLevel="0" collapsed="false">
      <c r="A954" s="2" t="s">
        <v>26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1</v>
      </c>
      <c r="H954" s="2" t="n">
        <v>0</v>
      </c>
      <c r="I954" s="2" t="n">
        <v>74.6</v>
      </c>
      <c r="K954" s="2" t="s">
        <v>21</v>
      </c>
      <c r="L954" s="2" t="s">
        <v>16</v>
      </c>
      <c r="M954" s="2" t="s">
        <v>22</v>
      </c>
      <c r="N954" s="2" t="n">
        <v>1</v>
      </c>
    </row>
    <row r="955" customFormat="false" ht="15" hidden="false" customHeight="false" outlineLevel="0" collapsed="false">
      <c r="A955" s="2" t="s">
        <v>26</v>
      </c>
      <c r="B955" s="2" t="n">
        <v>1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1</v>
      </c>
      <c r="H955" s="2" t="n">
        <v>0</v>
      </c>
      <c r="I955" s="2" t="n">
        <v>64.1</v>
      </c>
      <c r="K955" s="2" t="s">
        <v>15</v>
      </c>
      <c r="L955" s="2" t="s">
        <v>16</v>
      </c>
      <c r="M955" s="2" t="s">
        <v>20</v>
      </c>
      <c r="N955" s="2" t="n">
        <v>1</v>
      </c>
    </row>
    <row r="956" customFormat="false" ht="15" hidden="false" customHeight="false" outlineLevel="0" collapsed="false">
      <c r="A956" s="2" t="s">
        <v>26</v>
      </c>
      <c r="B956" s="2" t="n">
        <v>1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67.3</v>
      </c>
      <c r="K956" s="2" t="s">
        <v>18</v>
      </c>
      <c r="L956" s="2" t="s">
        <v>19</v>
      </c>
      <c r="M956" s="2" t="s">
        <v>22</v>
      </c>
      <c r="N956" s="2" t="n">
        <v>0</v>
      </c>
    </row>
    <row r="957" customFormat="false" ht="15" hidden="false" customHeight="false" outlineLevel="0" collapsed="false">
      <c r="A957" s="2" t="s">
        <v>26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1</v>
      </c>
      <c r="H957" s="2" t="n">
        <v>0</v>
      </c>
      <c r="I957" s="2" t="n">
        <v>41</v>
      </c>
      <c r="K957" s="2" t="s">
        <v>18</v>
      </c>
      <c r="L957" s="2" t="s">
        <v>19</v>
      </c>
      <c r="M957" s="2" t="s">
        <v>20</v>
      </c>
      <c r="N957" s="2" t="n">
        <v>2</v>
      </c>
    </row>
    <row r="958" customFormat="false" ht="15" hidden="false" customHeight="false" outlineLevel="0" collapsed="false">
      <c r="A958" s="2" t="s">
        <v>26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48.1</v>
      </c>
      <c r="K958" s="2" t="s">
        <v>18</v>
      </c>
      <c r="L958" s="2" t="s">
        <v>19</v>
      </c>
      <c r="M958" s="2" t="s">
        <v>20</v>
      </c>
      <c r="N958" s="2" t="n">
        <v>0</v>
      </c>
    </row>
    <row r="959" customFormat="false" ht="15" hidden="false" customHeight="false" outlineLevel="0" collapsed="false">
      <c r="A959" s="2" t="s">
        <v>26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1</v>
      </c>
      <c r="H959" s="2" t="n">
        <v>0</v>
      </c>
      <c r="I959" s="2" t="n">
        <v>60.8</v>
      </c>
      <c r="K959" s="2" t="s">
        <v>18</v>
      </c>
      <c r="L959" s="2" t="s">
        <v>16</v>
      </c>
      <c r="M959" s="2" t="s">
        <v>20</v>
      </c>
      <c r="N959" s="2" t="n">
        <v>1</v>
      </c>
    </row>
    <row r="960" customFormat="false" ht="15" hidden="false" customHeight="false" outlineLevel="0" collapsed="false">
      <c r="A960" s="2" t="s">
        <v>26</v>
      </c>
      <c r="B960" s="2" t="n">
        <v>1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63.1</v>
      </c>
      <c r="K960" s="2" t="s">
        <v>21</v>
      </c>
      <c r="L960" s="2" t="s">
        <v>19</v>
      </c>
      <c r="M960" s="2" t="s">
        <v>20</v>
      </c>
      <c r="N960" s="2" t="n">
        <v>0</v>
      </c>
    </row>
    <row r="961" customFormat="false" ht="15" hidden="false" customHeight="false" outlineLevel="0" collapsed="false">
      <c r="A961" s="2" t="s">
        <v>26</v>
      </c>
      <c r="B961" s="2" t="n">
        <v>1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1</v>
      </c>
      <c r="H961" s="2" t="n">
        <v>0</v>
      </c>
      <c r="I961" s="2" t="n">
        <v>49.7</v>
      </c>
      <c r="K961" s="2" t="s">
        <v>15</v>
      </c>
      <c r="L961" s="2" t="s">
        <v>19</v>
      </c>
      <c r="M961" s="2" t="s">
        <v>22</v>
      </c>
      <c r="N961" s="2" t="n">
        <v>2</v>
      </c>
    </row>
    <row r="962" customFormat="false" ht="15" hidden="false" customHeight="false" outlineLevel="0" collapsed="false">
      <c r="A962" s="2" t="s">
        <v>26</v>
      </c>
      <c r="B962" s="2" t="n">
        <v>1</v>
      </c>
      <c r="C962" s="2" t="n">
        <v>1</v>
      </c>
      <c r="D962" s="2" t="n">
        <v>1</v>
      </c>
      <c r="E962" s="2" t="n">
        <v>0</v>
      </c>
      <c r="F962" s="2" t="n">
        <v>0</v>
      </c>
      <c r="G962" s="2" t="n">
        <v>1</v>
      </c>
      <c r="H962" s="2" t="n">
        <v>0</v>
      </c>
      <c r="I962" s="2" t="n">
        <v>83.4</v>
      </c>
      <c r="K962" s="2" t="s">
        <v>21</v>
      </c>
      <c r="L962" s="2" t="s">
        <v>16</v>
      </c>
      <c r="M962" s="2" t="s">
        <v>22</v>
      </c>
      <c r="N962" s="2" t="n">
        <v>1</v>
      </c>
    </row>
    <row r="963" customFormat="false" ht="15" hidden="false" customHeight="false" outlineLevel="0" collapsed="false">
      <c r="A963" s="2" t="s">
        <v>26</v>
      </c>
      <c r="B963" s="2" t="n">
        <v>1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75.9</v>
      </c>
      <c r="K963" s="2" t="s">
        <v>21</v>
      </c>
      <c r="L963" s="2" t="s">
        <v>19</v>
      </c>
      <c r="M963" s="2" t="s">
        <v>17</v>
      </c>
      <c r="N963" s="2" t="n">
        <v>0</v>
      </c>
    </row>
    <row r="964" customFormat="false" ht="15" hidden="false" customHeight="false" outlineLevel="0" collapsed="false">
      <c r="A964" s="2" t="s">
        <v>26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1</v>
      </c>
      <c r="H964" s="2" t="n">
        <v>0</v>
      </c>
      <c r="I964" s="2" t="n">
        <v>71.8</v>
      </c>
      <c r="K964" s="2" t="s">
        <v>21</v>
      </c>
      <c r="L964" s="2" t="s">
        <v>16</v>
      </c>
      <c r="M964" s="2" t="s">
        <v>20</v>
      </c>
      <c r="N964" s="2" t="n">
        <v>1</v>
      </c>
    </row>
    <row r="965" customFormat="false" ht="15" hidden="false" customHeight="false" outlineLevel="0" collapsed="false">
      <c r="A965" s="2" t="s">
        <v>26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37.9</v>
      </c>
      <c r="K965" s="2" t="s">
        <v>23</v>
      </c>
      <c r="L965" s="2" t="s">
        <v>19</v>
      </c>
      <c r="M965" s="2" t="s">
        <v>17</v>
      </c>
      <c r="N965" s="2" t="n">
        <v>0</v>
      </c>
    </row>
    <row r="966" customFormat="false" ht="15" hidden="false" customHeight="false" outlineLevel="0" collapsed="false">
      <c r="A966" s="2" t="s">
        <v>26</v>
      </c>
      <c r="B966" s="2" t="n">
        <v>1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59.8</v>
      </c>
      <c r="K966" s="2" t="s">
        <v>15</v>
      </c>
      <c r="L966" s="2" t="s">
        <v>16</v>
      </c>
      <c r="M966" s="2" t="s">
        <v>20</v>
      </c>
      <c r="N966" s="2" t="n">
        <v>0</v>
      </c>
    </row>
    <row r="967" customFormat="false" ht="15" hidden="false" customHeight="false" outlineLevel="0" collapsed="false">
      <c r="A967" s="2" t="s">
        <v>26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66.9</v>
      </c>
      <c r="K967" s="2" t="s">
        <v>15</v>
      </c>
      <c r="L967" s="2" t="s">
        <v>19</v>
      </c>
      <c r="M967" s="2" t="s">
        <v>17</v>
      </c>
      <c r="N967" s="2" t="n">
        <v>0</v>
      </c>
    </row>
    <row r="968" customFormat="false" ht="15" hidden="false" customHeight="false" outlineLevel="0" collapsed="false">
      <c r="A968" s="2" t="s">
        <v>26</v>
      </c>
      <c r="B968" s="2" t="n">
        <v>1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59</v>
      </c>
      <c r="K968" s="2" t="s">
        <v>23</v>
      </c>
      <c r="L968" s="2" t="s">
        <v>16</v>
      </c>
      <c r="M968" s="2" t="s">
        <v>20</v>
      </c>
      <c r="N968" s="2" t="n">
        <v>0</v>
      </c>
    </row>
    <row r="969" customFormat="false" ht="15" hidden="false" customHeight="false" outlineLevel="0" collapsed="false">
      <c r="A969" s="2" t="s">
        <v>26</v>
      </c>
      <c r="B969" s="2" t="n">
        <v>1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80.1</v>
      </c>
      <c r="K969" s="2" t="s">
        <v>18</v>
      </c>
      <c r="L969" s="2" t="s">
        <v>19</v>
      </c>
      <c r="M969" s="2" t="s">
        <v>22</v>
      </c>
      <c r="N969" s="2" t="n">
        <v>0</v>
      </c>
    </row>
    <row r="970" customFormat="false" ht="15" hidden="false" customHeight="false" outlineLevel="0" collapsed="false">
      <c r="A970" s="2" t="s">
        <v>26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64.3</v>
      </c>
      <c r="K970" s="2" t="s">
        <v>23</v>
      </c>
      <c r="L970" s="2" t="s">
        <v>19</v>
      </c>
      <c r="M970" s="2" t="s">
        <v>20</v>
      </c>
      <c r="N970" s="2" t="n">
        <v>0</v>
      </c>
    </row>
    <row r="971" customFormat="false" ht="15" hidden="false" customHeight="false" outlineLevel="0" collapsed="false">
      <c r="A971" s="2" t="s">
        <v>26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1</v>
      </c>
      <c r="H971" s="2" t="n">
        <v>0</v>
      </c>
      <c r="I971" s="2" t="n">
        <v>57.4</v>
      </c>
      <c r="K971" s="2" t="s">
        <v>23</v>
      </c>
      <c r="L971" s="2" t="s">
        <v>16</v>
      </c>
      <c r="M971" s="2" t="s">
        <v>20</v>
      </c>
      <c r="N971" s="2" t="n">
        <v>1</v>
      </c>
    </row>
    <row r="972" customFormat="false" ht="15" hidden="false" customHeight="false" outlineLevel="0" collapsed="false">
      <c r="A972" s="2" t="s">
        <v>26</v>
      </c>
      <c r="B972" s="2" t="n">
        <v>1</v>
      </c>
      <c r="C972" s="2" t="n">
        <v>1</v>
      </c>
      <c r="D972" s="2" t="n">
        <v>1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83.6</v>
      </c>
      <c r="K972" s="2" t="s">
        <v>15</v>
      </c>
      <c r="L972" s="2" t="s">
        <v>16</v>
      </c>
      <c r="M972" s="2" t="s">
        <v>20</v>
      </c>
      <c r="N972" s="2" t="n">
        <v>0</v>
      </c>
    </row>
    <row r="973" customFormat="false" ht="15" hidden="false" customHeight="false" outlineLevel="0" collapsed="false">
      <c r="A973" s="2" t="s">
        <v>26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45.8</v>
      </c>
      <c r="K973" s="2" t="s">
        <v>21</v>
      </c>
      <c r="L973" s="2" t="s">
        <v>19</v>
      </c>
      <c r="M973" s="2" t="s">
        <v>22</v>
      </c>
      <c r="N973" s="2" t="n">
        <v>0</v>
      </c>
    </row>
    <row r="974" customFormat="false" ht="15" hidden="false" customHeight="false" outlineLevel="0" collapsed="false">
      <c r="A974" s="2" t="s">
        <v>26</v>
      </c>
      <c r="B974" s="2" t="n">
        <v>1</v>
      </c>
      <c r="C974" s="2" t="n">
        <v>1</v>
      </c>
      <c r="D974" s="2" t="n">
        <v>1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64.3</v>
      </c>
      <c r="K974" s="2" t="s">
        <v>18</v>
      </c>
      <c r="L974" s="2" t="s">
        <v>19</v>
      </c>
      <c r="M974" s="2" t="s">
        <v>17</v>
      </c>
      <c r="N974" s="2" t="n">
        <v>0</v>
      </c>
    </row>
    <row r="975" customFormat="false" ht="15" hidden="false" customHeight="false" outlineLevel="0" collapsed="false">
      <c r="A975" s="2" t="s">
        <v>26</v>
      </c>
      <c r="B975" s="2" t="n">
        <v>1</v>
      </c>
      <c r="C975" s="2" t="n">
        <v>1</v>
      </c>
      <c r="D975" s="2" t="n">
        <v>1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80.5</v>
      </c>
      <c r="K975" s="2" t="s">
        <v>23</v>
      </c>
      <c r="L975" s="2" t="s">
        <v>19</v>
      </c>
      <c r="M975" s="2" t="s">
        <v>22</v>
      </c>
      <c r="N975" s="2" t="n">
        <v>0</v>
      </c>
    </row>
    <row r="976" customFormat="false" ht="15" hidden="false" customHeight="false" outlineLevel="0" collapsed="false">
      <c r="A976" s="2" t="s">
        <v>26</v>
      </c>
      <c r="B976" s="2" t="n">
        <v>1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46.3</v>
      </c>
      <c r="K976" s="2" t="s">
        <v>15</v>
      </c>
      <c r="L976" s="2" t="s">
        <v>19</v>
      </c>
      <c r="M976" s="2" t="s">
        <v>20</v>
      </c>
      <c r="N976" s="2" t="n">
        <v>0</v>
      </c>
    </row>
    <row r="977" customFormat="false" ht="15" hidden="false" customHeight="false" outlineLevel="0" collapsed="false">
      <c r="A977" s="2" t="s">
        <v>26</v>
      </c>
      <c r="B977" s="2" t="n">
        <v>1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71.6</v>
      </c>
      <c r="K977" s="2" t="s">
        <v>23</v>
      </c>
      <c r="L977" s="2" t="s">
        <v>16</v>
      </c>
      <c r="M977" s="2" t="s">
        <v>17</v>
      </c>
      <c r="N977" s="2" t="n">
        <v>0</v>
      </c>
    </row>
    <row r="978" customFormat="false" ht="15" hidden="false" customHeight="false" outlineLevel="0" collapsed="false">
      <c r="A978" s="2" t="s">
        <v>26</v>
      </c>
      <c r="B978" s="2" t="n">
        <v>1</v>
      </c>
      <c r="C978" s="2" t="n">
        <v>1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57.8</v>
      </c>
      <c r="K978" s="2" t="s">
        <v>23</v>
      </c>
      <c r="L978" s="2" t="s">
        <v>16</v>
      </c>
      <c r="M978" s="2" t="s">
        <v>22</v>
      </c>
      <c r="N978" s="2" t="n">
        <v>0</v>
      </c>
    </row>
    <row r="979" customFormat="false" ht="15" hidden="false" customHeight="false" outlineLevel="0" collapsed="false">
      <c r="A979" s="2" t="s">
        <v>26</v>
      </c>
      <c r="B979" s="2" t="n">
        <v>1</v>
      </c>
      <c r="C979" s="2" t="n">
        <v>1</v>
      </c>
      <c r="D979" s="2" t="n">
        <v>1</v>
      </c>
      <c r="E979" s="2" t="n">
        <v>0</v>
      </c>
      <c r="F979" s="2" t="n">
        <v>0</v>
      </c>
      <c r="G979" s="2" t="n">
        <v>1</v>
      </c>
      <c r="H979" s="2" t="n">
        <v>0</v>
      </c>
      <c r="I979" s="2" t="n">
        <v>57.8</v>
      </c>
      <c r="K979" s="2" t="s">
        <v>18</v>
      </c>
      <c r="L979" s="2" t="s">
        <v>16</v>
      </c>
      <c r="M979" s="2" t="s">
        <v>17</v>
      </c>
      <c r="N979" s="2" t="n">
        <v>1</v>
      </c>
    </row>
    <row r="980" customFormat="false" ht="15" hidden="false" customHeight="false" outlineLevel="0" collapsed="false">
      <c r="A980" s="2" t="s">
        <v>26</v>
      </c>
      <c r="B980" s="2" t="n">
        <v>1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38.3</v>
      </c>
      <c r="K980" s="2" t="s">
        <v>15</v>
      </c>
      <c r="L980" s="2" t="s">
        <v>19</v>
      </c>
      <c r="M980" s="2" t="s">
        <v>20</v>
      </c>
      <c r="N980" s="2" t="n">
        <v>0</v>
      </c>
    </row>
    <row r="981" customFormat="false" ht="15" hidden="false" customHeight="false" outlineLevel="0" collapsed="false">
      <c r="A981" s="2" t="s">
        <v>26</v>
      </c>
      <c r="B981" s="2" t="n">
        <v>1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1</v>
      </c>
      <c r="H981" s="2" t="n">
        <v>0</v>
      </c>
      <c r="I981" s="2" t="n">
        <v>66.1</v>
      </c>
      <c r="K981" s="2" t="s">
        <v>15</v>
      </c>
      <c r="L981" s="2" t="s">
        <v>19</v>
      </c>
      <c r="M981" s="2" t="s">
        <v>22</v>
      </c>
      <c r="N981" s="2" t="n">
        <v>1</v>
      </c>
    </row>
    <row r="982" customFormat="false" ht="15" hidden="false" customHeight="false" outlineLevel="0" collapsed="false">
      <c r="A982" s="2" t="s">
        <v>26</v>
      </c>
      <c r="B982" s="2" t="n">
        <v>1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66.5</v>
      </c>
      <c r="K982" s="2" t="s">
        <v>15</v>
      </c>
      <c r="L982" s="2" t="s">
        <v>16</v>
      </c>
      <c r="M982" s="2" t="s">
        <v>22</v>
      </c>
      <c r="N982" s="2" t="n">
        <v>0</v>
      </c>
    </row>
    <row r="983" customFormat="false" ht="15" hidden="false" customHeight="false" outlineLevel="0" collapsed="false">
      <c r="A983" s="2" t="s">
        <v>26</v>
      </c>
      <c r="B983" s="2" t="n">
        <v>1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1</v>
      </c>
      <c r="H983" s="2" t="n">
        <v>0</v>
      </c>
      <c r="I983" s="2" t="n">
        <v>51.5</v>
      </c>
      <c r="K983" s="2" t="s">
        <v>23</v>
      </c>
      <c r="L983" s="2" t="s">
        <v>16</v>
      </c>
      <c r="M983" s="2" t="s">
        <v>20</v>
      </c>
      <c r="N983" s="2" t="n">
        <v>3</v>
      </c>
    </row>
    <row r="984" customFormat="false" ht="15" hidden="false" customHeight="false" outlineLevel="0" collapsed="false">
      <c r="A984" s="2" t="s">
        <v>26</v>
      </c>
      <c r="B984" s="2" t="n">
        <v>1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59.9</v>
      </c>
      <c r="K984" s="2" t="s">
        <v>15</v>
      </c>
      <c r="L984" s="2" t="s">
        <v>16</v>
      </c>
      <c r="M984" s="2" t="s">
        <v>20</v>
      </c>
      <c r="N984" s="2" t="n">
        <v>0</v>
      </c>
    </row>
    <row r="985" customFormat="false" ht="15" hidden="false" customHeight="false" outlineLevel="0" collapsed="false">
      <c r="A985" s="2" t="s">
        <v>26</v>
      </c>
      <c r="B985" s="2" t="n">
        <v>1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58.8</v>
      </c>
      <c r="K985" s="2" t="s">
        <v>18</v>
      </c>
      <c r="L985" s="2" t="s">
        <v>19</v>
      </c>
      <c r="M985" s="2" t="s">
        <v>17</v>
      </c>
      <c r="N985" s="2" t="n">
        <v>0</v>
      </c>
    </row>
    <row r="986" customFormat="false" ht="15" hidden="false" customHeight="false" outlineLevel="0" collapsed="false">
      <c r="A986" s="2" t="s">
        <v>26</v>
      </c>
      <c r="B986" s="2" t="n">
        <v>1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69.6</v>
      </c>
      <c r="K986" s="2" t="s">
        <v>23</v>
      </c>
      <c r="L986" s="2" t="s">
        <v>24</v>
      </c>
      <c r="M986" s="2" t="s">
        <v>17</v>
      </c>
      <c r="N986" s="2" t="n">
        <v>0</v>
      </c>
    </row>
    <row r="987" customFormat="false" ht="15" hidden="false" customHeight="false" outlineLevel="0" collapsed="false">
      <c r="A987" s="2" t="s">
        <v>26</v>
      </c>
      <c r="B987" s="2" t="n">
        <v>1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77.5</v>
      </c>
      <c r="K987" s="2" t="s">
        <v>21</v>
      </c>
      <c r="L987" s="2" t="s">
        <v>19</v>
      </c>
      <c r="M987" s="2" t="s">
        <v>20</v>
      </c>
      <c r="N987" s="2" t="n">
        <v>0</v>
      </c>
    </row>
    <row r="988" customFormat="false" ht="15" hidden="false" customHeight="false" outlineLevel="0" collapsed="false">
      <c r="A988" s="2" t="s">
        <v>26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1</v>
      </c>
      <c r="H988" s="2" t="n">
        <v>0</v>
      </c>
      <c r="I988" s="2" t="n">
        <v>57.5</v>
      </c>
      <c r="K988" s="2" t="s">
        <v>21</v>
      </c>
      <c r="L988" s="2" t="s">
        <v>24</v>
      </c>
      <c r="M988" s="2" t="s">
        <v>22</v>
      </c>
      <c r="N988" s="2" t="n">
        <v>2</v>
      </c>
    </row>
    <row r="989" customFormat="false" ht="15" hidden="false" customHeight="false" outlineLevel="0" collapsed="false">
      <c r="A989" s="2" t="s">
        <v>26</v>
      </c>
      <c r="B989" s="2" t="n">
        <v>1</v>
      </c>
      <c r="C989" s="2" t="n">
        <v>0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64.2</v>
      </c>
      <c r="K989" s="2" t="s">
        <v>18</v>
      </c>
      <c r="L989" s="2" t="s">
        <v>24</v>
      </c>
      <c r="M989" s="2" t="s">
        <v>17</v>
      </c>
      <c r="N989" s="2" t="n">
        <v>0</v>
      </c>
    </row>
    <row r="990" customFormat="false" ht="15" hidden="false" customHeight="false" outlineLevel="0" collapsed="false">
      <c r="A990" s="2" t="s">
        <v>26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60</v>
      </c>
      <c r="K990" s="2" t="s">
        <v>18</v>
      </c>
      <c r="L990" s="2" t="s">
        <v>16</v>
      </c>
      <c r="M990" s="2" t="s">
        <v>20</v>
      </c>
      <c r="N990" s="2" t="n">
        <v>0</v>
      </c>
    </row>
    <row r="991" customFormat="false" ht="15" hidden="false" customHeight="false" outlineLevel="0" collapsed="false">
      <c r="A991" s="2" t="s">
        <v>26</v>
      </c>
      <c r="B991" s="2" t="n">
        <v>1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1</v>
      </c>
      <c r="H991" s="2" t="n">
        <v>0</v>
      </c>
      <c r="I991" s="2" t="n">
        <v>43.7</v>
      </c>
      <c r="K991" s="2" t="s">
        <v>21</v>
      </c>
      <c r="L991" s="2" t="s">
        <v>19</v>
      </c>
      <c r="M991" s="2" t="s">
        <v>17</v>
      </c>
      <c r="N991" s="2" t="n">
        <v>1</v>
      </c>
    </row>
    <row r="992" customFormat="false" ht="15" hidden="false" customHeight="false" outlineLevel="0" collapsed="false">
      <c r="A992" s="2" t="s">
        <v>26</v>
      </c>
      <c r="B992" s="2" t="n">
        <v>1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64.9</v>
      </c>
      <c r="K992" s="2" t="s">
        <v>18</v>
      </c>
      <c r="L992" s="2" t="s">
        <v>16</v>
      </c>
      <c r="M992" s="2" t="s">
        <v>20</v>
      </c>
      <c r="N992" s="2" t="n">
        <v>0</v>
      </c>
    </row>
    <row r="993" customFormat="false" ht="15" hidden="false" customHeight="false" outlineLevel="0" collapsed="false">
      <c r="A993" s="2" t="s">
        <v>26</v>
      </c>
      <c r="B993" s="2" t="n">
        <v>1</v>
      </c>
      <c r="C993" s="2" t="n">
        <v>1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45.5</v>
      </c>
      <c r="K993" s="2" t="s">
        <v>23</v>
      </c>
      <c r="L993" s="2" t="s">
        <v>16</v>
      </c>
      <c r="M993" s="2" t="s">
        <v>20</v>
      </c>
      <c r="N993" s="2" t="n">
        <v>0</v>
      </c>
    </row>
    <row r="994" customFormat="false" ht="15" hidden="false" customHeight="false" outlineLevel="0" collapsed="false">
      <c r="A994" s="2" t="s">
        <v>26</v>
      </c>
      <c r="B994" s="2" t="n">
        <v>1</v>
      </c>
      <c r="C994" s="2" t="n">
        <v>1</v>
      </c>
      <c r="D994" s="2" t="n">
        <v>1</v>
      </c>
      <c r="E994" s="2" t="n">
        <v>1</v>
      </c>
      <c r="F994" s="2" t="n">
        <v>1772.97</v>
      </c>
      <c r="G994" s="2" t="n">
        <v>0</v>
      </c>
      <c r="H994" s="2" t="n">
        <v>0</v>
      </c>
      <c r="I994" s="2" t="n">
        <v>61.2</v>
      </c>
      <c r="J994" s="2" t="n">
        <v>8</v>
      </c>
      <c r="K994" s="2" t="s">
        <v>21</v>
      </c>
      <c r="L994" s="2" t="s">
        <v>19</v>
      </c>
      <c r="M994" s="2" t="s">
        <v>20</v>
      </c>
      <c r="N994" s="2" t="n">
        <v>0</v>
      </c>
    </row>
    <row r="995" customFormat="false" ht="15" hidden="false" customHeight="false" outlineLevel="0" collapsed="false">
      <c r="A995" s="2" t="s">
        <v>26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87.8</v>
      </c>
      <c r="K995" s="2" t="s">
        <v>23</v>
      </c>
      <c r="L995" s="2" t="s">
        <v>19</v>
      </c>
      <c r="M995" s="2" t="s">
        <v>20</v>
      </c>
      <c r="N995" s="2" t="n">
        <v>0</v>
      </c>
    </row>
    <row r="996" customFormat="false" ht="15" hidden="false" customHeight="false" outlineLevel="0" collapsed="false">
      <c r="A996" s="2" t="s">
        <v>26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86.4</v>
      </c>
      <c r="K996" s="2" t="s">
        <v>21</v>
      </c>
      <c r="L996" s="2" t="s">
        <v>24</v>
      </c>
      <c r="M996" s="2" t="s">
        <v>20</v>
      </c>
      <c r="N996" s="2" t="n">
        <v>0</v>
      </c>
    </row>
    <row r="997" customFormat="false" ht="15" hidden="false" customHeight="false" outlineLevel="0" collapsed="false">
      <c r="A997" s="2" t="s">
        <v>26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1</v>
      </c>
      <c r="H997" s="2" t="n">
        <v>0</v>
      </c>
      <c r="I997" s="2" t="n">
        <v>71.4</v>
      </c>
      <c r="K997" s="2" t="s">
        <v>15</v>
      </c>
      <c r="L997" s="2" t="s">
        <v>19</v>
      </c>
      <c r="M997" s="2" t="s">
        <v>17</v>
      </c>
      <c r="N997" s="2" t="n">
        <v>1</v>
      </c>
    </row>
    <row r="998" customFormat="false" ht="15" hidden="false" customHeight="false" outlineLevel="0" collapsed="false">
      <c r="A998" s="2" t="s">
        <v>26</v>
      </c>
      <c r="B998" s="2" t="n">
        <v>1</v>
      </c>
      <c r="C998" s="2" t="n">
        <v>1</v>
      </c>
      <c r="D998" s="2" t="n">
        <v>1</v>
      </c>
      <c r="E998" s="2" t="n">
        <v>1</v>
      </c>
      <c r="F998" s="2" t="n">
        <v>218.66</v>
      </c>
      <c r="G998" s="2" t="n">
        <v>0</v>
      </c>
      <c r="H998" s="2" t="n">
        <v>1</v>
      </c>
      <c r="I998" s="2" t="n">
        <v>72.2</v>
      </c>
      <c r="J998" s="2" t="n">
        <v>8</v>
      </c>
      <c r="K998" s="2" t="s">
        <v>18</v>
      </c>
      <c r="L998" s="2" t="s">
        <v>19</v>
      </c>
      <c r="M998" s="2" t="s">
        <v>20</v>
      </c>
      <c r="N998" s="2" t="n">
        <v>0</v>
      </c>
    </row>
    <row r="999" customFormat="false" ht="15" hidden="false" customHeight="false" outlineLevel="0" collapsed="false">
      <c r="A999" s="2" t="s">
        <v>26</v>
      </c>
      <c r="B999" s="2" t="n">
        <v>1</v>
      </c>
      <c r="C999" s="2" t="n">
        <v>0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51.9</v>
      </c>
      <c r="K999" s="2" t="s">
        <v>23</v>
      </c>
      <c r="L999" s="2" t="s">
        <v>16</v>
      </c>
      <c r="M999" s="2" t="s">
        <v>20</v>
      </c>
      <c r="N999" s="2" t="n">
        <v>0</v>
      </c>
    </row>
    <row r="1000" customFormat="false" ht="15" hidden="false" customHeight="false" outlineLevel="0" collapsed="false">
      <c r="A1000" s="2" t="s">
        <v>26</v>
      </c>
      <c r="B1000" s="2" t="n">
        <v>1</v>
      </c>
      <c r="C1000" s="2" t="n">
        <v>1</v>
      </c>
      <c r="D1000" s="2" t="n">
        <v>1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70.3</v>
      </c>
      <c r="K1000" s="2" t="s">
        <v>21</v>
      </c>
      <c r="L1000" s="2" t="s">
        <v>19</v>
      </c>
      <c r="M1000" s="2" t="s">
        <v>17</v>
      </c>
      <c r="N1000" s="2" t="n">
        <v>0</v>
      </c>
    </row>
    <row r="1001" customFormat="false" ht="15" hidden="false" customHeight="false" outlineLevel="0" collapsed="false">
      <c r="A1001" s="2" t="s">
        <v>26</v>
      </c>
      <c r="B1001" s="2" t="n">
        <v>1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1</v>
      </c>
      <c r="H1001" s="2" t="n">
        <v>0</v>
      </c>
      <c r="I1001" s="2" t="n">
        <v>49.2</v>
      </c>
      <c r="K1001" s="2" t="s">
        <v>23</v>
      </c>
      <c r="L1001" s="2" t="s">
        <v>19</v>
      </c>
      <c r="M1001" s="2" t="s">
        <v>22</v>
      </c>
      <c r="N1001" s="2" t="n">
        <v>1</v>
      </c>
    </row>
    <row r="1002" customFormat="false" ht="15" hidden="false" customHeight="false" outlineLevel="0" collapsed="false">
      <c r="A1002" s="2" t="s">
        <v>26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52.2</v>
      </c>
      <c r="K1002" s="2" t="s">
        <v>23</v>
      </c>
      <c r="L1002" s="2" t="s">
        <v>19</v>
      </c>
      <c r="M1002" s="2" t="s">
        <v>20</v>
      </c>
      <c r="N1002" s="2" t="n">
        <v>0</v>
      </c>
    </row>
    <row r="1003" customFormat="false" ht="15" hidden="false" customHeight="false" outlineLevel="0" collapsed="false">
      <c r="A1003" s="2" t="s">
        <v>26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1</v>
      </c>
      <c r="H1003" s="2" t="n">
        <v>0</v>
      </c>
      <c r="I1003" s="2" t="n">
        <v>62.6</v>
      </c>
      <c r="K1003" s="2" t="s">
        <v>21</v>
      </c>
      <c r="L1003" s="2" t="s">
        <v>19</v>
      </c>
      <c r="M1003" s="2" t="s">
        <v>17</v>
      </c>
      <c r="N1003" s="2" t="n">
        <v>1</v>
      </c>
    </row>
    <row r="1004" customFormat="false" ht="15" hidden="false" customHeight="false" outlineLevel="0" collapsed="false">
      <c r="A1004" s="2" t="s">
        <v>26</v>
      </c>
      <c r="B1004" s="2" t="n">
        <v>1</v>
      </c>
      <c r="C1004" s="2" t="n">
        <v>1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100</v>
      </c>
      <c r="K1004" s="2" t="s">
        <v>21</v>
      </c>
      <c r="L1004" s="2" t="s">
        <v>16</v>
      </c>
      <c r="M1004" s="2" t="s">
        <v>20</v>
      </c>
      <c r="N1004" s="2" t="n">
        <v>0</v>
      </c>
    </row>
    <row r="1005" customFormat="false" ht="15" hidden="false" customHeight="false" outlineLevel="0" collapsed="false">
      <c r="A1005" s="2" t="s">
        <v>26</v>
      </c>
      <c r="B1005" s="2" t="n">
        <v>1</v>
      </c>
      <c r="C1005" s="2" t="n">
        <v>1</v>
      </c>
      <c r="D1005" s="2" t="n">
        <v>1</v>
      </c>
      <c r="E1005" s="2" t="n">
        <v>0</v>
      </c>
      <c r="F1005" s="2" t="n">
        <v>0</v>
      </c>
      <c r="G1005" s="2" t="n">
        <v>1</v>
      </c>
      <c r="H1005" s="2" t="n">
        <v>0</v>
      </c>
      <c r="I1005" s="2" t="n">
        <v>45.9</v>
      </c>
      <c r="K1005" s="2" t="s">
        <v>15</v>
      </c>
      <c r="L1005" s="2" t="s">
        <v>19</v>
      </c>
      <c r="M1005" s="2" t="s">
        <v>17</v>
      </c>
      <c r="N1005" s="2" t="n">
        <v>2</v>
      </c>
    </row>
    <row r="1006" customFormat="false" ht="15" hidden="false" customHeight="false" outlineLevel="0" collapsed="false">
      <c r="A1006" s="2" t="s">
        <v>26</v>
      </c>
      <c r="B1006" s="2" t="n">
        <v>1</v>
      </c>
      <c r="C1006" s="2" t="n">
        <v>1</v>
      </c>
      <c r="D1006" s="2" t="n">
        <v>1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80.7</v>
      </c>
      <c r="K1006" s="2" t="s">
        <v>21</v>
      </c>
      <c r="L1006" s="2" t="s">
        <v>19</v>
      </c>
      <c r="M1006" s="2" t="s">
        <v>20</v>
      </c>
      <c r="N1006" s="2" t="n">
        <v>0</v>
      </c>
    </row>
    <row r="1007" customFormat="false" ht="15" hidden="false" customHeight="false" outlineLevel="0" collapsed="false">
      <c r="A1007" s="2" t="s">
        <v>26</v>
      </c>
      <c r="B1007" s="2" t="n">
        <v>1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51.9</v>
      </c>
      <c r="K1007" s="2" t="s">
        <v>23</v>
      </c>
      <c r="L1007" s="2" t="s">
        <v>16</v>
      </c>
      <c r="M1007" s="2" t="s">
        <v>22</v>
      </c>
      <c r="N1007" s="2" t="n">
        <v>0</v>
      </c>
    </row>
    <row r="1008" customFormat="false" ht="15" hidden="false" customHeight="false" outlineLevel="0" collapsed="false">
      <c r="A1008" s="2" t="s">
        <v>26</v>
      </c>
      <c r="B1008" s="2" t="n">
        <v>1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68.9</v>
      </c>
      <c r="K1008" s="2" t="s">
        <v>15</v>
      </c>
      <c r="L1008" s="2" t="s">
        <v>19</v>
      </c>
      <c r="M1008" s="2" t="s">
        <v>22</v>
      </c>
      <c r="N1008" s="2" t="n">
        <v>0</v>
      </c>
    </row>
    <row r="1009" customFormat="false" ht="15" hidden="false" customHeight="false" outlineLevel="0" collapsed="false">
      <c r="A1009" s="2" t="s">
        <v>26</v>
      </c>
      <c r="B1009" s="2" t="n">
        <v>1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66</v>
      </c>
      <c r="K1009" s="2" t="s">
        <v>18</v>
      </c>
      <c r="L1009" s="2" t="s">
        <v>16</v>
      </c>
      <c r="M1009" s="2" t="s">
        <v>20</v>
      </c>
      <c r="N1009" s="2" t="n">
        <v>0</v>
      </c>
    </row>
    <row r="1010" customFormat="false" ht="15" hidden="false" customHeight="false" outlineLevel="0" collapsed="false">
      <c r="A1010" s="2" t="s">
        <v>26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63.1</v>
      </c>
      <c r="K1010" s="2" t="s">
        <v>18</v>
      </c>
      <c r="L1010" s="2" t="s">
        <v>16</v>
      </c>
      <c r="M1010" s="2" t="s">
        <v>17</v>
      </c>
      <c r="N1010" s="2" t="n">
        <v>0</v>
      </c>
    </row>
    <row r="1011" customFormat="false" ht="15" hidden="false" customHeight="false" outlineLevel="0" collapsed="false">
      <c r="A1011" s="2" t="s">
        <v>26</v>
      </c>
      <c r="B1011" s="2" t="n">
        <v>0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56</v>
      </c>
      <c r="K1011" s="2" t="s">
        <v>23</v>
      </c>
      <c r="L1011" s="2" t="s">
        <v>16</v>
      </c>
      <c r="M1011" s="2" t="s">
        <v>20</v>
      </c>
      <c r="N1011" s="2" t="n">
        <v>0</v>
      </c>
    </row>
    <row r="1012" customFormat="false" ht="15" hidden="false" customHeight="false" outlineLevel="0" collapsed="false">
      <c r="A1012" s="2" t="s">
        <v>26</v>
      </c>
      <c r="B1012" s="2" t="n">
        <v>1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1</v>
      </c>
      <c r="H1012" s="2" t="n">
        <v>0</v>
      </c>
      <c r="I1012" s="2" t="n">
        <v>65.7</v>
      </c>
      <c r="K1012" s="2" t="s">
        <v>21</v>
      </c>
      <c r="L1012" s="2" t="s">
        <v>16</v>
      </c>
      <c r="M1012" s="2" t="s">
        <v>20</v>
      </c>
      <c r="N1012" s="2" t="n">
        <v>1</v>
      </c>
    </row>
    <row r="1013" customFormat="false" ht="15" hidden="false" customHeight="false" outlineLevel="0" collapsed="false">
      <c r="A1013" s="2" t="s">
        <v>26</v>
      </c>
      <c r="B1013" s="2" t="n">
        <v>1</v>
      </c>
      <c r="C1013" s="2" t="n">
        <v>1</v>
      </c>
      <c r="D1013" s="2" t="n">
        <v>1</v>
      </c>
      <c r="E1013" s="2" t="n">
        <v>1</v>
      </c>
      <c r="F1013" s="2" t="n">
        <v>1938.31</v>
      </c>
      <c r="G1013" s="2" t="n">
        <v>1</v>
      </c>
      <c r="H1013" s="2" t="n">
        <v>0</v>
      </c>
      <c r="I1013" s="2" t="n">
        <v>60.9</v>
      </c>
      <c r="J1013" s="2" t="n">
        <v>9</v>
      </c>
      <c r="K1013" s="2" t="s">
        <v>15</v>
      </c>
      <c r="L1013" s="2" t="s">
        <v>16</v>
      </c>
      <c r="M1013" s="2" t="s">
        <v>22</v>
      </c>
      <c r="N1013" s="2" t="n">
        <v>1</v>
      </c>
    </row>
    <row r="1014" customFormat="false" ht="15" hidden="false" customHeight="false" outlineLevel="0" collapsed="false">
      <c r="A1014" s="2" t="s">
        <v>26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45.5</v>
      </c>
      <c r="K1014" s="2" t="s">
        <v>23</v>
      </c>
      <c r="L1014" s="2" t="s">
        <v>16</v>
      </c>
      <c r="M1014" s="2" t="s">
        <v>20</v>
      </c>
      <c r="N1014" s="2" t="n">
        <v>0</v>
      </c>
    </row>
    <row r="1015" customFormat="false" ht="15" hidden="false" customHeight="false" outlineLevel="0" collapsed="false">
      <c r="A1015" s="2" t="s">
        <v>26</v>
      </c>
      <c r="B1015" s="2" t="n">
        <v>1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50</v>
      </c>
      <c r="K1015" s="2" t="s">
        <v>15</v>
      </c>
      <c r="L1015" s="2" t="s">
        <v>19</v>
      </c>
      <c r="M1015" s="2" t="s">
        <v>20</v>
      </c>
      <c r="N1015" s="2" t="n">
        <v>0</v>
      </c>
    </row>
    <row r="1016" customFormat="false" ht="15" hidden="false" customHeight="false" outlineLevel="0" collapsed="false">
      <c r="A1016" s="2" t="s">
        <v>26</v>
      </c>
      <c r="B1016" s="2" t="n">
        <v>1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72.1</v>
      </c>
      <c r="K1016" s="2" t="s">
        <v>15</v>
      </c>
      <c r="L1016" s="2" t="s">
        <v>19</v>
      </c>
      <c r="M1016" s="2" t="s">
        <v>20</v>
      </c>
      <c r="N1016" s="2" t="n">
        <v>0</v>
      </c>
    </row>
    <row r="1017" customFormat="false" ht="15" hidden="false" customHeight="false" outlineLevel="0" collapsed="false">
      <c r="A1017" s="2" t="s">
        <v>26</v>
      </c>
      <c r="B1017" s="2" t="n">
        <v>1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76.3</v>
      </c>
      <c r="K1017" s="2" t="s">
        <v>23</v>
      </c>
      <c r="L1017" s="2" t="s">
        <v>16</v>
      </c>
      <c r="M1017" s="2" t="s">
        <v>17</v>
      </c>
      <c r="N1017" s="2" t="n">
        <v>0</v>
      </c>
    </row>
    <row r="1018" customFormat="false" ht="15" hidden="false" customHeight="false" outlineLevel="0" collapsed="false">
      <c r="A1018" s="2" t="s">
        <v>26</v>
      </c>
      <c r="B1018" s="2" t="n">
        <v>1</v>
      </c>
      <c r="C1018" s="2" t="n">
        <v>1</v>
      </c>
      <c r="D1018" s="2" t="n">
        <v>0</v>
      </c>
      <c r="E1018" s="2" t="n">
        <v>0</v>
      </c>
      <c r="F1018" s="2" t="n">
        <v>0</v>
      </c>
      <c r="G1018" s="2" t="n">
        <v>1</v>
      </c>
      <c r="H1018" s="2" t="n">
        <v>0</v>
      </c>
      <c r="I1018" s="2" t="n">
        <v>54.8</v>
      </c>
      <c r="K1018" s="2" t="s">
        <v>21</v>
      </c>
      <c r="L1018" s="2" t="s">
        <v>19</v>
      </c>
      <c r="M1018" s="2" t="s">
        <v>17</v>
      </c>
      <c r="N1018" s="2" t="n">
        <v>1</v>
      </c>
    </row>
    <row r="1019" customFormat="false" ht="15" hidden="false" customHeight="false" outlineLevel="0" collapsed="false">
      <c r="A1019" s="2" t="s">
        <v>26</v>
      </c>
      <c r="B1019" s="2" t="n">
        <v>1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63.6</v>
      </c>
      <c r="K1019" s="2" t="s">
        <v>23</v>
      </c>
      <c r="L1019" s="2" t="s">
        <v>19</v>
      </c>
      <c r="M1019" s="2" t="s">
        <v>17</v>
      </c>
      <c r="N1019" s="2" t="n">
        <v>0</v>
      </c>
    </row>
    <row r="1020" customFormat="false" ht="15" hidden="false" customHeight="false" outlineLevel="0" collapsed="false">
      <c r="A1020" s="2" t="s">
        <v>26</v>
      </c>
      <c r="B1020" s="2" t="n">
        <v>1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68.8</v>
      </c>
      <c r="K1020" s="2" t="s">
        <v>23</v>
      </c>
      <c r="L1020" s="2" t="s">
        <v>19</v>
      </c>
      <c r="M1020" s="2" t="s">
        <v>20</v>
      </c>
      <c r="N1020" s="2" t="n">
        <v>0</v>
      </c>
    </row>
    <row r="1021" customFormat="false" ht="15" hidden="false" customHeight="false" outlineLevel="0" collapsed="false">
      <c r="A1021" s="2" t="s">
        <v>26</v>
      </c>
      <c r="B1021" s="2" t="n">
        <v>1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63.2</v>
      </c>
      <c r="K1021" s="2" t="s">
        <v>23</v>
      </c>
      <c r="L1021" s="2" t="s">
        <v>16</v>
      </c>
      <c r="M1021" s="2" t="s">
        <v>17</v>
      </c>
      <c r="N1021" s="2" t="n">
        <v>0</v>
      </c>
    </row>
    <row r="1022" customFormat="false" ht="15" hidden="false" customHeight="false" outlineLevel="0" collapsed="false">
      <c r="A1022" s="2" t="s">
        <v>26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45</v>
      </c>
      <c r="K1022" s="2" t="s">
        <v>21</v>
      </c>
      <c r="L1022" s="2" t="s">
        <v>19</v>
      </c>
      <c r="M1022" s="2" t="s">
        <v>17</v>
      </c>
      <c r="N1022" s="2" t="n">
        <v>0</v>
      </c>
    </row>
    <row r="1023" customFormat="false" ht="15" hidden="false" customHeight="false" outlineLevel="0" collapsed="false">
      <c r="A1023" s="2" t="s">
        <v>26</v>
      </c>
      <c r="B1023" s="2" t="n">
        <v>1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77.4</v>
      </c>
      <c r="K1023" s="2" t="s">
        <v>23</v>
      </c>
      <c r="L1023" s="2" t="s">
        <v>19</v>
      </c>
      <c r="M1023" s="2" t="s">
        <v>20</v>
      </c>
      <c r="N1023" s="2" t="n">
        <v>0</v>
      </c>
    </row>
    <row r="1024" customFormat="false" ht="15" hidden="false" customHeight="false" outlineLevel="0" collapsed="false">
      <c r="A1024" s="2" t="s">
        <v>26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53.1</v>
      </c>
      <c r="K1024" s="2" t="s">
        <v>21</v>
      </c>
      <c r="L1024" s="2" t="s">
        <v>16</v>
      </c>
      <c r="M1024" s="2" t="s">
        <v>17</v>
      </c>
      <c r="N1024" s="2" t="n">
        <v>0</v>
      </c>
    </row>
    <row r="1025" customFormat="false" ht="15" hidden="false" customHeight="false" outlineLevel="0" collapsed="false">
      <c r="A1025" s="2" t="s">
        <v>26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74</v>
      </c>
      <c r="K1025" s="2" t="s">
        <v>18</v>
      </c>
      <c r="L1025" s="2" t="s">
        <v>24</v>
      </c>
      <c r="M1025" s="2" t="s">
        <v>22</v>
      </c>
      <c r="N1025" s="2" t="n">
        <v>0</v>
      </c>
    </row>
    <row r="1026" customFormat="false" ht="15" hidden="false" customHeight="false" outlineLevel="0" collapsed="false">
      <c r="A1026" s="2" t="s">
        <v>26</v>
      </c>
      <c r="B1026" s="2" t="n">
        <v>1</v>
      </c>
      <c r="C1026" s="2" t="n">
        <v>1</v>
      </c>
      <c r="D1026" s="2" t="n">
        <v>1</v>
      </c>
      <c r="E1026" s="2" t="n">
        <v>1</v>
      </c>
      <c r="F1026" s="2" t="n">
        <v>1906.23</v>
      </c>
      <c r="G1026" s="2" t="n">
        <v>0</v>
      </c>
      <c r="H1026" s="2" t="n">
        <v>0</v>
      </c>
      <c r="I1026" s="2" t="n">
        <v>84.6</v>
      </c>
      <c r="J1026" s="2" t="n">
        <v>4</v>
      </c>
      <c r="K1026" s="2" t="s">
        <v>15</v>
      </c>
      <c r="L1026" s="2" t="s">
        <v>19</v>
      </c>
      <c r="M1026" s="2" t="s">
        <v>22</v>
      </c>
      <c r="N1026" s="2" t="n">
        <v>0</v>
      </c>
    </row>
    <row r="1027" customFormat="false" ht="15" hidden="false" customHeight="false" outlineLevel="0" collapsed="false">
      <c r="A1027" s="2" t="s">
        <v>26</v>
      </c>
      <c r="B1027" s="2" t="n">
        <v>1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57</v>
      </c>
      <c r="K1027" s="2" t="s">
        <v>21</v>
      </c>
      <c r="L1027" s="2" t="s">
        <v>19</v>
      </c>
      <c r="M1027" s="2" t="s">
        <v>20</v>
      </c>
      <c r="N1027" s="2" t="n">
        <v>0</v>
      </c>
    </row>
    <row r="1028" customFormat="false" ht="15" hidden="false" customHeight="false" outlineLevel="0" collapsed="false">
      <c r="A1028" s="2" t="s">
        <v>26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46.3</v>
      </c>
      <c r="K1028" s="2" t="s">
        <v>23</v>
      </c>
      <c r="L1028" s="2" t="s">
        <v>19</v>
      </c>
      <c r="M1028" s="2" t="s">
        <v>22</v>
      </c>
      <c r="N1028" s="2" t="n">
        <v>0</v>
      </c>
    </row>
    <row r="1029" customFormat="false" ht="15" hidden="false" customHeight="false" outlineLevel="0" collapsed="false">
      <c r="A1029" s="2" t="s">
        <v>26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1</v>
      </c>
      <c r="H1029" s="2" t="n">
        <v>0</v>
      </c>
      <c r="I1029" s="2" t="n">
        <v>64.4</v>
      </c>
      <c r="K1029" s="2" t="s">
        <v>18</v>
      </c>
      <c r="L1029" s="2" t="s">
        <v>19</v>
      </c>
      <c r="M1029" s="2" t="s">
        <v>20</v>
      </c>
      <c r="N1029" s="2" t="n">
        <v>1</v>
      </c>
    </row>
    <row r="1030" customFormat="false" ht="15" hidden="false" customHeight="false" outlineLevel="0" collapsed="false">
      <c r="A1030" s="2" t="s">
        <v>26</v>
      </c>
      <c r="B1030" s="2" t="n">
        <v>1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1</v>
      </c>
      <c r="H1030" s="2" t="n">
        <v>0</v>
      </c>
      <c r="I1030" s="2" t="n">
        <v>61.9</v>
      </c>
      <c r="K1030" s="2" t="s">
        <v>18</v>
      </c>
      <c r="L1030" s="2" t="s">
        <v>19</v>
      </c>
      <c r="M1030" s="2" t="s">
        <v>20</v>
      </c>
      <c r="N1030" s="2" t="n">
        <v>2</v>
      </c>
    </row>
    <row r="1031" customFormat="false" ht="15" hidden="false" customHeight="false" outlineLevel="0" collapsed="false">
      <c r="A1031" s="2" t="s">
        <v>26</v>
      </c>
      <c r="B1031" s="2" t="n">
        <v>1</v>
      </c>
      <c r="C1031" s="2" t="n">
        <v>1</v>
      </c>
      <c r="D1031" s="2" t="n">
        <v>1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93.7</v>
      </c>
      <c r="K1031" s="2" t="s">
        <v>15</v>
      </c>
      <c r="L1031" s="2" t="s">
        <v>19</v>
      </c>
      <c r="M1031" s="2" t="s">
        <v>22</v>
      </c>
      <c r="N1031" s="2" t="n">
        <v>0</v>
      </c>
    </row>
    <row r="1032" customFormat="false" ht="15" hidden="false" customHeight="false" outlineLevel="0" collapsed="false">
      <c r="A1032" s="2" t="s">
        <v>26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61.6</v>
      </c>
      <c r="K1032" s="2" t="s">
        <v>23</v>
      </c>
      <c r="L1032" s="2" t="s">
        <v>19</v>
      </c>
      <c r="M1032" s="2" t="s">
        <v>17</v>
      </c>
      <c r="N1032" s="2" t="n">
        <v>0</v>
      </c>
    </row>
    <row r="1033" customFormat="false" ht="15" hidden="false" customHeight="false" outlineLevel="0" collapsed="false">
      <c r="A1033" s="2" t="s">
        <v>26</v>
      </c>
      <c r="B1033" s="2" t="n">
        <v>1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72.2</v>
      </c>
      <c r="K1033" s="2" t="s">
        <v>15</v>
      </c>
      <c r="L1033" s="2" t="s">
        <v>19</v>
      </c>
      <c r="M1033" s="2" t="s">
        <v>20</v>
      </c>
      <c r="N1033" s="2" t="n">
        <v>0</v>
      </c>
    </row>
    <row r="1034" customFormat="false" ht="15" hidden="false" customHeight="false" outlineLevel="0" collapsed="false">
      <c r="A1034" s="2" t="s">
        <v>26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69.5</v>
      </c>
      <c r="K1034" s="2" t="s">
        <v>15</v>
      </c>
      <c r="L1034" s="2" t="s">
        <v>19</v>
      </c>
      <c r="M1034" s="2" t="s">
        <v>17</v>
      </c>
      <c r="N1034" s="2" t="n">
        <v>0</v>
      </c>
    </row>
    <row r="1035" customFormat="false" ht="15" hidden="false" customHeight="false" outlineLevel="0" collapsed="false">
      <c r="A1035" s="2" t="s">
        <v>26</v>
      </c>
      <c r="B1035" s="2" t="n">
        <v>0</v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59.7</v>
      </c>
      <c r="K1035" s="2" t="s">
        <v>21</v>
      </c>
      <c r="L1035" s="2" t="s">
        <v>16</v>
      </c>
      <c r="M1035" s="2" t="s">
        <v>17</v>
      </c>
      <c r="N1035" s="2" t="n">
        <v>0</v>
      </c>
    </row>
    <row r="1036" customFormat="false" ht="15" hidden="false" customHeight="false" outlineLevel="0" collapsed="false">
      <c r="A1036" s="2" t="s">
        <v>26</v>
      </c>
      <c r="B1036" s="2" t="n">
        <v>1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73.9</v>
      </c>
      <c r="K1036" s="2" t="s">
        <v>21</v>
      </c>
      <c r="L1036" s="2" t="s">
        <v>24</v>
      </c>
      <c r="M1036" s="2" t="s">
        <v>17</v>
      </c>
      <c r="N1036" s="2" t="n">
        <v>0</v>
      </c>
    </row>
    <row r="1037" customFormat="false" ht="15" hidden="false" customHeight="false" outlineLevel="0" collapsed="false">
      <c r="A1037" s="2" t="s">
        <v>26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41.5</v>
      </c>
      <c r="K1037" s="2" t="s">
        <v>15</v>
      </c>
      <c r="L1037" s="2" t="s">
        <v>19</v>
      </c>
      <c r="M1037" s="2" t="s">
        <v>20</v>
      </c>
      <c r="N1037" s="2" t="n">
        <v>0</v>
      </c>
    </row>
    <row r="1038" customFormat="false" ht="15" hidden="false" customHeight="false" outlineLevel="0" collapsed="false">
      <c r="A1038" s="2" t="s">
        <v>26</v>
      </c>
      <c r="B1038" s="2" t="n">
        <v>1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82.8</v>
      </c>
      <c r="K1038" s="2" t="s">
        <v>18</v>
      </c>
      <c r="L1038" s="2" t="s">
        <v>19</v>
      </c>
      <c r="M1038" s="2" t="s">
        <v>22</v>
      </c>
      <c r="N1038" s="2" t="n">
        <v>0</v>
      </c>
    </row>
    <row r="1039" customFormat="false" ht="15" hidden="false" customHeight="false" outlineLevel="0" collapsed="false">
      <c r="A1039" s="2" t="s">
        <v>26</v>
      </c>
      <c r="B1039" s="2" t="n">
        <v>1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1</v>
      </c>
      <c r="H1039" s="2" t="n">
        <v>0</v>
      </c>
      <c r="I1039" s="2" t="n">
        <v>70.2</v>
      </c>
      <c r="K1039" s="2" t="s">
        <v>18</v>
      </c>
      <c r="L1039" s="2" t="s">
        <v>19</v>
      </c>
      <c r="M1039" s="2" t="s">
        <v>22</v>
      </c>
      <c r="N1039" s="2" t="n">
        <v>3</v>
      </c>
    </row>
    <row r="1040" customFormat="false" ht="15" hidden="false" customHeight="false" outlineLevel="0" collapsed="false">
      <c r="A1040" s="2" t="s">
        <v>26</v>
      </c>
      <c r="B1040" s="2" t="n">
        <v>1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1</v>
      </c>
      <c r="H1040" s="2" t="n">
        <v>0</v>
      </c>
      <c r="I1040" s="2" t="n">
        <v>69.4</v>
      </c>
      <c r="K1040" s="2" t="s">
        <v>21</v>
      </c>
      <c r="L1040" s="2" t="s">
        <v>19</v>
      </c>
      <c r="M1040" s="2" t="s">
        <v>17</v>
      </c>
      <c r="N1040" s="2" t="n">
        <v>1</v>
      </c>
    </row>
    <row r="1041" customFormat="false" ht="15" hidden="false" customHeight="false" outlineLevel="0" collapsed="false">
      <c r="A1041" s="2" t="s">
        <v>26</v>
      </c>
      <c r="B1041" s="2" t="n">
        <v>1</v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60.4</v>
      </c>
      <c r="K1041" s="2" t="s">
        <v>15</v>
      </c>
      <c r="L1041" s="2" t="s">
        <v>16</v>
      </c>
      <c r="M1041" s="2" t="s">
        <v>17</v>
      </c>
      <c r="N1041" s="2" t="n">
        <v>0</v>
      </c>
    </row>
    <row r="1042" customFormat="false" ht="15" hidden="false" customHeight="false" outlineLevel="0" collapsed="false">
      <c r="A1042" s="2" t="s">
        <v>26</v>
      </c>
      <c r="B1042" s="2" t="n">
        <v>1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45.7</v>
      </c>
      <c r="K1042" s="2" t="s">
        <v>21</v>
      </c>
      <c r="L1042" s="2" t="s">
        <v>19</v>
      </c>
      <c r="M1042" s="2" t="s">
        <v>20</v>
      </c>
      <c r="N1042" s="2" t="n">
        <v>0</v>
      </c>
    </row>
    <row r="1043" customFormat="false" ht="15" hidden="false" customHeight="false" outlineLevel="0" collapsed="false">
      <c r="A1043" s="2" t="s">
        <v>26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1</v>
      </c>
      <c r="H1043" s="2" t="n">
        <v>0</v>
      </c>
      <c r="I1043" s="2" t="n">
        <v>42.2</v>
      </c>
      <c r="K1043" s="2" t="s">
        <v>18</v>
      </c>
      <c r="L1043" s="2" t="s">
        <v>19</v>
      </c>
      <c r="M1043" s="2" t="s">
        <v>17</v>
      </c>
      <c r="N1043" s="2" t="n">
        <v>1</v>
      </c>
    </row>
    <row r="1044" customFormat="false" ht="15" hidden="false" customHeight="false" outlineLevel="0" collapsed="false">
      <c r="A1044" s="2" t="s">
        <v>26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1</v>
      </c>
      <c r="H1044" s="2" t="n">
        <v>0</v>
      </c>
      <c r="I1044" s="2" t="n">
        <v>61.9</v>
      </c>
      <c r="K1044" s="2" t="s">
        <v>15</v>
      </c>
      <c r="L1044" s="2" t="s">
        <v>16</v>
      </c>
      <c r="M1044" s="2" t="s">
        <v>20</v>
      </c>
      <c r="N1044" s="2" t="n">
        <v>2</v>
      </c>
    </row>
    <row r="1045" customFormat="false" ht="15" hidden="false" customHeight="false" outlineLevel="0" collapsed="false">
      <c r="A1045" s="2" t="s">
        <v>26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44.9</v>
      </c>
      <c r="K1045" s="2" t="s">
        <v>21</v>
      </c>
      <c r="L1045" s="2" t="s">
        <v>19</v>
      </c>
      <c r="M1045" s="2" t="s">
        <v>22</v>
      </c>
      <c r="N1045" s="2" t="n">
        <v>0</v>
      </c>
    </row>
    <row r="1046" customFormat="false" ht="15" hidden="false" customHeight="false" outlineLevel="0" collapsed="false">
      <c r="A1046" s="2" t="s">
        <v>26</v>
      </c>
      <c r="B1046" s="2" t="n">
        <v>1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68</v>
      </c>
      <c r="K1046" s="2" t="s">
        <v>21</v>
      </c>
      <c r="L1046" s="2" t="s">
        <v>16</v>
      </c>
      <c r="M1046" s="2" t="s">
        <v>17</v>
      </c>
      <c r="N1046" s="2" t="n">
        <v>0</v>
      </c>
    </row>
    <row r="1047" customFormat="false" ht="15" hidden="false" customHeight="false" outlineLevel="0" collapsed="false">
      <c r="A1047" s="2" t="s">
        <v>26</v>
      </c>
      <c r="B1047" s="2" t="n">
        <v>1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61</v>
      </c>
      <c r="K1047" s="2" t="s">
        <v>15</v>
      </c>
      <c r="L1047" s="2" t="s">
        <v>19</v>
      </c>
      <c r="M1047" s="2" t="s">
        <v>20</v>
      </c>
      <c r="N1047" s="2" t="n">
        <v>0</v>
      </c>
    </row>
    <row r="1048" customFormat="false" ht="15" hidden="false" customHeight="false" outlineLevel="0" collapsed="false">
      <c r="A1048" s="2" t="s">
        <v>26</v>
      </c>
      <c r="B1048" s="2" t="n">
        <v>1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55</v>
      </c>
      <c r="K1048" s="2" t="s">
        <v>18</v>
      </c>
      <c r="L1048" s="2" t="s">
        <v>19</v>
      </c>
      <c r="M1048" s="2" t="s">
        <v>17</v>
      </c>
      <c r="N1048" s="2" t="n">
        <v>0</v>
      </c>
    </row>
    <row r="1049" customFormat="false" ht="15" hidden="false" customHeight="false" outlineLevel="0" collapsed="false">
      <c r="A1049" s="2" t="s">
        <v>26</v>
      </c>
      <c r="B1049" s="2" t="n">
        <v>1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63.1</v>
      </c>
      <c r="K1049" s="2" t="s">
        <v>21</v>
      </c>
      <c r="L1049" s="2" t="s">
        <v>25</v>
      </c>
      <c r="M1049" s="2" t="s">
        <v>17</v>
      </c>
      <c r="N1049" s="2" t="n">
        <v>0</v>
      </c>
    </row>
    <row r="1050" customFormat="false" ht="15" hidden="false" customHeight="false" outlineLevel="0" collapsed="false">
      <c r="A1050" s="2" t="s">
        <v>26</v>
      </c>
      <c r="B1050" s="2" t="n">
        <v>1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75.8</v>
      </c>
      <c r="K1050" s="2" t="s">
        <v>18</v>
      </c>
      <c r="L1050" s="2" t="s">
        <v>16</v>
      </c>
      <c r="M1050" s="2" t="s">
        <v>20</v>
      </c>
      <c r="N1050" s="2" t="n">
        <v>0</v>
      </c>
    </row>
    <row r="1051" customFormat="false" ht="15" hidden="false" customHeight="false" outlineLevel="0" collapsed="false">
      <c r="A1051" s="2" t="s">
        <v>26</v>
      </c>
      <c r="B1051" s="2" t="n">
        <v>1</v>
      </c>
      <c r="C1051" s="2" t="n">
        <v>1</v>
      </c>
      <c r="D1051" s="2" t="n">
        <v>0</v>
      </c>
      <c r="E1051" s="2" t="n">
        <v>0</v>
      </c>
      <c r="F1051" s="2" t="n">
        <v>0</v>
      </c>
      <c r="G1051" s="2" t="n">
        <v>1</v>
      </c>
      <c r="H1051" s="2" t="n">
        <v>0</v>
      </c>
      <c r="I1051" s="2" t="n">
        <v>43.8</v>
      </c>
      <c r="K1051" s="2" t="s">
        <v>23</v>
      </c>
      <c r="L1051" s="2" t="s">
        <v>19</v>
      </c>
      <c r="M1051" s="2" t="s">
        <v>20</v>
      </c>
      <c r="N1051" s="2" t="n">
        <v>1</v>
      </c>
    </row>
    <row r="1052" customFormat="false" ht="15" hidden="false" customHeight="false" outlineLevel="0" collapsed="false">
      <c r="A1052" s="2" t="s">
        <v>26</v>
      </c>
      <c r="B1052" s="2" t="n">
        <v>1</v>
      </c>
      <c r="C1052" s="2" t="n">
        <v>1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46.8</v>
      </c>
      <c r="K1052" s="2" t="s">
        <v>15</v>
      </c>
      <c r="L1052" s="2" t="s">
        <v>19</v>
      </c>
      <c r="M1052" s="2" t="s">
        <v>17</v>
      </c>
      <c r="N1052" s="2" t="n">
        <v>0</v>
      </c>
    </row>
    <row r="1053" customFormat="false" ht="15" hidden="false" customHeight="false" outlineLevel="0" collapsed="false">
      <c r="A1053" s="2" t="s">
        <v>26</v>
      </c>
      <c r="B1053" s="2" t="n">
        <v>1</v>
      </c>
      <c r="C1053" s="2" t="n">
        <v>1</v>
      </c>
      <c r="D1053" s="2" t="n">
        <v>1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97.4</v>
      </c>
      <c r="K1053" s="2" t="s">
        <v>21</v>
      </c>
      <c r="L1053" s="2" t="s">
        <v>19</v>
      </c>
      <c r="M1053" s="2" t="s">
        <v>20</v>
      </c>
      <c r="N1053" s="2" t="n">
        <v>0</v>
      </c>
    </row>
    <row r="1054" customFormat="false" ht="15" hidden="false" customHeight="false" outlineLevel="0" collapsed="false">
      <c r="A1054" s="2" t="s">
        <v>26</v>
      </c>
      <c r="B1054" s="2" t="n">
        <v>1</v>
      </c>
      <c r="C1054" s="2" t="n">
        <v>1</v>
      </c>
      <c r="D1054" s="2" t="n">
        <v>1</v>
      </c>
      <c r="E1054" s="2" t="n">
        <v>1</v>
      </c>
      <c r="F1054" s="2" t="n">
        <v>268.96</v>
      </c>
      <c r="G1054" s="2" t="n">
        <v>0</v>
      </c>
      <c r="H1054" s="2" t="n">
        <v>0</v>
      </c>
      <c r="I1054" s="2" t="n">
        <v>81</v>
      </c>
      <c r="J1054" s="2" t="n">
        <v>14</v>
      </c>
      <c r="K1054" s="2" t="s">
        <v>15</v>
      </c>
      <c r="L1054" s="2" t="s">
        <v>16</v>
      </c>
      <c r="M1054" s="2" t="s">
        <v>20</v>
      </c>
      <c r="N1054" s="2" t="n">
        <v>0</v>
      </c>
    </row>
    <row r="1055" customFormat="false" ht="15" hidden="false" customHeight="false" outlineLevel="0" collapsed="false">
      <c r="A1055" s="2" t="s">
        <v>26</v>
      </c>
      <c r="B1055" s="2" t="n">
        <v>1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1</v>
      </c>
      <c r="H1055" s="2" t="n">
        <v>0</v>
      </c>
      <c r="I1055" s="2" t="n">
        <v>58.9</v>
      </c>
      <c r="K1055" s="2" t="s">
        <v>23</v>
      </c>
      <c r="L1055" s="2" t="s">
        <v>19</v>
      </c>
      <c r="M1055" s="2" t="s">
        <v>20</v>
      </c>
      <c r="N1055" s="2" t="n">
        <v>1</v>
      </c>
    </row>
    <row r="1056" customFormat="false" ht="15" hidden="false" customHeight="false" outlineLevel="0" collapsed="false">
      <c r="A1056" s="2" t="s">
        <v>26</v>
      </c>
      <c r="B1056" s="2" t="n">
        <v>1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51.9</v>
      </c>
      <c r="K1056" s="2" t="s">
        <v>21</v>
      </c>
      <c r="L1056" s="2" t="s">
        <v>19</v>
      </c>
      <c r="M1056" s="2" t="s">
        <v>20</v>
      </c>
      <c r="N1056" s="2" t="n">
        <v>0</v>
      </c>
    </row>
    <row r="1057" customFormat="false" ht="15" hidden="false" customHeight="false" outlineLevel="0" collapsed="false">
      <c r="A1057" s="2" t="s">
        <v>26</v>
      </c>
      <c r="B1057" s="2" t="n">
        <v>1</v>
      </c>
      <c r="C1057" s="2" t="n">
        <v>1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61.7</v>
      </c>
      <c r="K1057" s="2" t="s">
        <v>18</v>
      </c>
      <c r="L1057" s="2" t="s">
        <v>19</v>
      </c>
      <c r="M1057" s="2" t="s">
        <v>20</v>
      </c>
      <c r="N1057" s="2" t="n">
        <v>0</v>
      </c>
    </row>
    <row r="1058" customFormat="false" ht="15" hidden="false" customHeight="false" outlineLevel="0" collapsed="false">
      <c r="A1058" s="2" t="s">
        <v>26</v>
      </c>
      <c r="B1058" s="2" t="n">
        <v>1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44.7</v>
      </c>
      <c r="K1058" s="2" t="s">
        <v>23</v>
      </c>
      <c r="L1058" s="2" t="s">
        <v>19</v>
      </c>
      <c r="M1058" s="2" t="s">
        <v>20</v>
      </c>
      <c r="N1058" s="2" t="n">
        <v>0</v>
      </c>
    </row>
    <row r="1059" customFormat="false" ht="15" hidden="false" customHeight="false" outlineLevel="0" collapsed="false">
      <c r="A1059" s="2" t="s">
        <v>26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63.2</v>
      </c>
      <c r="K1059" s="2" t="s">
        <v>15</v>
      </c>
      <c r="L1059" s="2" t="s">
        <v>19</v>
      </c>
      <c r="M1059" s="2" t="s">
        <v>17</v>
      </c>
      <c r="N1059" s="2" t="n">
        <v>0</v>
      </c>
    </row>
    <row r="1060" customFormat="false" ht="15" hidden="false" customHeight="false" outlineLevel="0" collapsed="false">
      <c r="A1060" s="2" t="s">
        <v>26</v>
      </c>
      <c r="B1060" s="2" t="n">
        <v>1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70.3</v>
      </c>
      <c r="K1060" s="2" t="s">
        <v>23</v>
      </c>
      <c r="L1060" s="2" t="s">
        <v>19</v>
      </c>
      <c r="M1060" s="2" t="s">
        <v>20</v>
      </c>
      <c r="N1060" s="2" t="n">
        <v>0</v>
      </c>
    </row>
    <row r="1061" customFormat="false" ht="15" hidden="false" customHeight="false" outlineLevel="0" collapsed="false">
      <c r="A1061" s="2" t="s">
        <v>26</v>
      </c>
      <c r="B1061" s="2" t="n">
        <v>1</v>
      </c>
      <c r="C1061" s="2" t="n">
        <v>1</v>
      </c>
      <c r="D1061" s="2" t="n">
        <v>0</v>
      </c>
      <c r="E1061" s="2" t="n">
        <v>0</v>
      </c>
      <c r="F1061" s="2" t="n">
        <v>0</v>
      </c>
      <c r="G1061" s="2" t="n">
        <v>1</v>
      </c>
      <c r="H1061" s="2" t="n">
        <v>0</v>
      </c>
      <c r="I1061" s="2" t="n">
        <v>83.1</v>
      </c>
      <c r="K1061" s="2" t="s">
        <v>23</v>
      </c>
      <c r="L1061" s="2" t="s">
        <v>19</v>
      </c>
      <c r="M1061" s="2" t="s">
        <v>22</v>
      </c>
      <c r="N1061" s="2" t="n">
        <v>1</v>
      </c>
    </row>
    <row r="1062" customFormat="false" ht="15" hidden="false" customHeight="false" outlineLevel="0" collapsed="false">
      <c r="A1062" s="2" t="s">
        <v>26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50.3</v>
      </c>
      <c r="K1062" s="2" t="s">
        <v>18</v>
      </c>
      <c r="L1062" s="2" t="s">
        <v>19</v>
      </c>
      <c r="M1062" s="2" t="s">
        <v>20</v>
      </c>
      <c r="N1062" s="2" t="n">
        <v>0</v>
      </c>
    </row>
    <row r="1063" customFormat="false" ht="15" hidden="false" customHeight="false" outlineLevel="0" collapsed="false">
      <c r="A1063" s="2" t="s">
        <v>26</v>
      </c>
      <c r="B1063" s="2" t="n">
        <v>1</v>
      </c>
      <c r="C1063" s="2" t="n">
        <v>1</v>
      </c>
      <c r="D1063" s="2" t="n">
        <v>1</v>
      </c>
      <c r="E1063" s="2" t="n">
        <v>1</v>
      </c>
      <c r="F1063" s="2" t="n">
        <v>437.09</v>
      </c>
      <c r="G1063" s="2" t="n">
        <v>1</v>
      </c>
      <c r="H1063" s="2" t="n">
        <v>1</v>
      </c>
      <c r="I1063" s="2" t="n">
        <v>58.2</v>
      </c>
      <c r="J1063" s="2" t="n">
        <v>1</v>
      </c>
      <c r="K1063" s="2" t="s">
        <v>21</v>
      </c>
      <c r="L1063" s="2" t="s">
        <v>19</v>
      </c>
      <c r="M1063" s="2" t="s">
        <v>20</v>
      </c>
      <c r="N1063" s="2" t="n">
        <v>2</v>
      </c>
    </row>
    <row r="1064" customFormat="false" ht="15" hidden="false" customHeight="false" outlineLevel="0" collapsed="false">
      <c r="A1064" s="2" t="s">
        <v>26</v>
      </c>
      <c r="B1064" s="2" t="n">
        <v>1</v>
      </c>
      <c r="C1064" s="2" t="n">
        <v>1</v>
      </c>
      <c r="D1064" s="2" t="n">
        <v>1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53.2</v>
      </c>
      <c r="K1064" s="2" t="s">
        <v>23</v>
      </c>
      <c r="L1064" s="2" t="s">
        <v>19</v>
      </c>
      <c r="M1064" s="2" t="s">
        <v>17</v>
      </c>
      <c r="N1064" s="2" t="n">
        <v>0</v>
      </c>
    </row>
    <row r="1065" customFormat="false" ht="15" hidden="false" customHeight="false" outlineLevel="0" collapsed="false">
      <c r="A1065" s="2" t="s">
        <v>26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36.4</v>
      </c>
      <c r="K1065" s="2" t="s">
        <v>21</v>
      </c>
      <c r="L1065" s="2" t="s">
        <v>19</v>
      </c>
      <c r="M1065" s="2" t="s">
        <v>22</v>
      </c>
      <c r="N1065" s="2" t="n">
        <v>0</v>
      </c>
    </row>
    <row r="1066" customFormat="false" ht="15" hidden="false" customHeight="false" outlineLevel="0" collapsed="false">
      <c r="A1066" s="2" t="s">
        <v>26</v>
      </c>
      <c r="B1066" s="2" t="n">
        <v>1</v>
      </c>
      <c r="C1066" s="2" t="n">
        <v>1</v>
      </c>
      <c r="D1066" s="2" t="n">
        <v>1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72.7</v>
      </c>
      <c r="K1066" s="2" t="s">
        <v>23</v>
      </c>
      <c r="L1066" s="2" t="s">
        <v>19</v>
      </c>
      <c r="M1066" s="2" t="s">
        <v>17</v>
      </c>
      <c r="N1066" s="2" t="n">
        <v>0</v>
      </c>
    </row>
    <row r="1067" customFormat="false" ht="15" hidden="false" customHeight="false" outlineLevel="0" collapsed="false">
      <c r="A1067" s="2" t="s">
        <v>26</v>
      </c>
      <c r="B1067" s="2" t="n">
        <v>1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1</v>
      </c>
      <c r="H1067" s="2" t="n">
        <v>0</v>
      </c>
      <c r="I1067" s="2" t="n">
        <v>86.7</v>
      </c>
      <c r="K1067" s="2" t="s">
        <v>21</v>
      </c>
      <c r="L1067" s="2" t="s">
        <v>19</v>
      </c>
      <c r="M1067" s="2" t="s">
        <v>20</v>
      </c>
      <c r="N1067" s="2" t="n">
        <v>1</v>
      </c>
    </row>
    <row r="1068" customFormat="false" ht="15" hidden="false" customHeight="false" outlineLevel="0" collapsed="false">
      <c r="A1068" s="2" t="s">
        <v>26</v>
      </c>
      <c r="B1068" s="2" t="n">
        <v>1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48.2</v>
      </c>
      <c r="K1068" s="2" t="s">
        <v>21</v>
      </c>
      <c r="L1068" s="2" t="s">
        <v>19</v>
      </c>
      <c r="M1068" s="2" t="s">
        <v>22</v>
      </c>
      <c r="N1068" s="2" t="n">
        <v>0</v>
      </c>
    </row>
    <row r="1069" customFormat="false" ht="15" hidden="false" customHeight="false" outlineLevel="0" collapsed="false">
      <c r="A1069" s="2" t="s">
        <v>26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1</v>
      </c>
      <c r="H1069" s="2" t="n">
        <v>0</v>
      </c>
      <c r="I1069" s="2" t="n">
        <v>57.6</v>
      </c>
      <c r="K1069" s="2" t="s">
        <v>18</v>
      </c>
      <c r="L1069" s="2" t="s">
        <v>19</v>
      </c>
      <c r="M1069" s="2" t="s">
        <v>17</v>
      </c>
      <c r="N1069" s="2" t="n">
        <v>1</v>
      </c>
    </row>
    <row r="1070" customFormat="false" ht="15" hidden="false" customHeight="false" outlineLevel="0" collapsed="false">
      <c r="A1070" s="2" t="s">
        <v>26</v>
      </c>
      <c r="B1070" s="2" t="n">
        <v>1</v>
      </c>
      <c r="C1070" s="2" t="n">
        <v>1</v>
      </c>
      <c r="D1070" s="2" t="n">
        <v>1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75.7</v>
      </c>
      <c r="K1070" s="2" t="s">
        <v>15</v>
      </c>
      <c r="L1070" s="2" t="s">
        <v>19</v>
      </c>
      <c r="M1070" s="2" t="s">
        <v>20</v>
      </c>
      <c r="N1070" s="2" t="n">
        <v>0</v>
      </c>
    </row>
    <row r="1071" customFormat="false" ht="15" hidden="false" customHeight="false" outlineLevel="0" collapsed="false">
      <c r="A1071" s="2" t="s">
        <v>26</v>
      </c>
      <c r="B1071" s="2" t="n">
        <v>1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1</v>
      </c>
      <c r="H1071" s="2" t="n">
        <v>0</v>
      </c>
      <c r="I1071" s="2" t="n">
        <v>48.6</v>
      </c>
      <c r="K1071" s="2" t="s">
        <v>18</v>
      </c>
      <c r="L1071" s="2" t="s">
        <v>16</v>
      </c>
      <c r="M1071" s="2" t="s">
        <v>20</v>
      </c>
      <c r="N1071" s="2" t="n">
        <v>2</v>
      </c>
    </row>
    <row r="1072" customFormat="false" ht="15" hidden="false" customHeight="false" outlineLevel="0" collapsed="false">
      <c r="A1072" s="2" t="s">
        <v>26</v>
      </c>
      <c r="B1072" s="2" t="n">
        <v>1</v>
      </c>
      <c r="C1072" s="2" t="n">
        <v>1</v>
      </c>
      <c r="D1072" s="2" t="n">
        <v>1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72</v>
      </c>
      <c r="K1072" s="2" t="s">
        <v>21</v>
      </c>
      <c r="L1072" s="2" t="s">
        <v>24</v>
      </c>
      <c r="M1072" s="2" t="s">
        <v>20</v>
      </c>
      <c r="N1072" s="2" t="n">
        <v>0</v>
      </c>
    </row>
    <row r="1073" customFormat="false" ht="15" hidden="false" customHeight="false" outlineLevel="0" collapsed="false">
      <c r="A1073" s="2" t="s">
        <v>26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72.2</v>
      </c>
      <c r="K1073" s="2" t="s">
        <v>15</v>
      </c>
      <c r="L1073" s="2" t="s">
        <v>19</v>
      </c>
      <c r="M1073" s="2" t="s">
        <v>20</v>
      </c>
      <c r="N1073" s="2" t="n">
        <v>0</v>
      </c>
    </row>
    <row r="1074" customFormat="false" ht="15" hidden="false" customHeight="false" outlineLevel="0" collapsed="false">
      <c r="A1074" s="2" t="s">
        <v>26</v>
      </c>
      <c r="B1074" s="2" t="n">
        <v>1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1</v>
      </c>
      <c r="H1074" s="2" t="n">
        <v>0</v>
      </c>
      <c r="K1074" s="2" t="s">
        <v>21</v>
      </c>
      <c r="L1074" s="2" t="s">
        <v>19</v>
      </c>
      <c r="M1074" s="2" t="s">
        <v>20</v>
      </c>
      <c r="N1074" s="2" t="n">
        <v>1</v>
      </c>
    </row>
    <row r="1075" customFormat="false" ht="15" hidden="false" customHeight="false" outlineLevel="0" collapsed="false">
      <c r="A1075" s="2" t="s">
        <v>26</v>
      </c>
      <c r="B1075" s="2" t="n">
        <v>1</v>
      </c>
      <c r="C1075" s="2" t="n">
        <v>1</v>
      </c>
      <c r="D1075" s="2" t="n">
        <v>1</v>
      </c>
      <c r="E1075" s="2" t="n">
        <v>1</v>
      </c>
      <c r="F1075" s="2" t="n">
        <v>331.53</v>
      </c>
      <c r="G1075" s="2" t="n">
        <v>1</v>
      </c>
      <c r="H1075" s="2" t="n">
        <v>0</v>
      </c>
      <c r="I1075" s="2" t="n">
        <v>56.8</v>
      </c>
      <c r="J1075" s="2" t="n">
        <v>4</v>
      </c>
      <c r="K1075" s="2" t="s">
        <v>23</v>
      </c>
      <c r="L1075" s="2" t="s">
        <v>16</v>
      </c>
      <c r="M1075" s="2" t="s">
        <v>20</v>
      </c>
      <c r="N1075" s="2" t="n">
        <v>2</v>
      </c>
    </row>
    <row r="1076" customFormat="false" ht="15" hidden="false" customHeight="false" outlineLevel="0" collapsed="false">
      <c r="A1076" s="2" t="s">
        <v>26</v>
      </c>
      <c r="B1076" s="2" t="n">
        <v>1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62.5</v>
      </c>
      <c r="K1076" s="2" t="s">
        <v>21</v>
      </c>
      <c r="L1076" s="2" t="s">
        <v>19</v>
      </c>
      <c r="M1076" s="2" t="s">
        <v>17</v>
      </c>
      <c r="N1076" s="2" t="n">
        <v>0</v>
      </c>
    </row>
    <row r="1077" customFormat="false" ht="15" hidden="false" customHeight="false" outlineLevel="0" collapsed="false">
      <c r="A1077" s="2" t="s">
        <v>26</v>
      </c>
      <c r="B1077" s="2" t="n">
        <v>1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63.4</v>
      </c>
      <c r="K1077" s="2" t="s">
        <v>23</v>
      </c>
      <c r="L1077" s="2" t="s">
        <v>19</v>
      </c>
      <c r="M1077" s="2" t="s">
        <v>20</v>
      </c>
      <c r="N1077" s="2" t="n">
        <v>0</v>
      </c>
    </row>
    <row r="1078" customFormat="false" ht="15" hidden="false" customHeight="false" outlineLevel="0" collapsed="false">
      <c r="A1078" s="2" t="s">
        <v>26</v>
      </c>
      <c r="B1078" s="2" t="n">
        <v>1</v>
      </c>
      <c r="C1078" s="2" t="n">
        <v>1</v>
      </c>
      <c r="D1078" s="2" t="n">
        <v>1</v>
      </c>
      <c r="E1078" s="2" t="n">
        <v>1</v>
      </c>
      <c r="F1078" s="2" t="n">
        <v>774.78</v>
      </c>
      <c r="G1078" s="2" t="n">
        <v>0</v>
      </c>
      <c r="H1078" s="2" t="n">
        <v>0</v>
      </c>
      <c r="I1078" s="2" t="n">
        <v>46.8</v>
      </c>
      <c r="J1078" s="2" t="n">
        <v>3</v>
      </c>
      <c r="K1078" s="2" t="s">
        <v>15</v>
      </c>
      <c r="L1078" s="2" t="s">
        <v>24</v>
      </c>
      <c r="M1078" s="2" t="s">
        <v>17</v>
      </c>
      <c r="N1078" s="2" t="n">
        <v>0</v>
      </c>
    </row>
    <row r="1079" customFormat="false" ht="15" hidden="false" customHeight="false" outlineLevel="0" collapsed="false">
      <c r="A1079" s="2" t="s">
        <v>26</v>
      </c>
      <c r="B1079" s="2" t="n">
        <v>1</v>
      </c>
      <c r="C1079" s="2" t="n">
        <v>1</v>
      </c>
      <c r="D1079" s="2" t="n">
        <v>1</v>
      </c>
      <c r="E1079" s="2" t="n">
        <v>1</v>
      </c>
      <c r="F1079" s="2" t="n">
        <v>422.02</v>
      </c>
      <c r="G1079" s="2" t="n">
        <v>0</v>
      </c>
      <c r="H1079" s="2" t="n">
        <v>0</v>
      </c>
      <c r="I1079" s="2" t="n">
        <v>86.5</v>
      </c>
      <c r="J1079" s="2" t="n">
        <v>8</v>
      </c>
      <c r="K1079" s="2" t="s">
        <v>23</v>
      </c>
      <c r="L1079" s="2" t="s">
        <v>19</v>
      </c>
      <c r="M1079" s="2" t="s">
        <v>20</v>
      </c>
      <c r="N1079" s="2" t="n">
        <v>0</v>
      </c>
    </row>
    <row r="1080" customFormat="false" ht="15" hidden="false" customHeight="false" outlineLevel="0" collapsed="false">
      <c r="A1080" s="2" t="s">
        <v>26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1</v>
      </c>
      <c r="H1080" s="2" t="n">
        <v>0</v>
      </c>
      <c r="I1080" s="2" t="n">
        <v>75.1</v>
      </c>
      <c r="K1080" s="2" t="s">
        <v>18</v>
      </c>
      <c r="L1080" s="2" t="s">
        <v>19</v>
      </c>
      <c r="M1080" s="2" t="s">
        <v>17</v>
      </c>
      <c r="N1080" s="2" t="n">
        <v>1</v>
      </c>
    </row>
    <row r="1081" customFormat="false" ht="15" hidden="false" customHeight="false" outlineLevel="0" collapsed="false">
      <c r="A1081" s="2" t="s">
        <v>26</v>
      </c>
      <c r="B1081" s="2" t="n">
        <v>1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64.5</v>
      </c>
      <c r="K1081" s="2" t="s">
        <v>23</v>
      </c>
      <c r="L1081" s="2" t="s">
        <v>19</v>
      </c>
      <c r="M1081" s="2" t="s">
        <v>17</v>
      </c>
      <c r="N1081" s="2" t="n">
        <v>0</v>
      </c>
    </row>
    <row r="1082" customFormat="false" ht="15" hidden="false" customHeight="false" outlineLevel="0" collapsed="false">
      <c r="A1082" s="2" t="s">
        <v>26</v>
      </c>
      <c r="B1082" s="2" t="n">
        <v>1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54.2</v>
      </c>
      <c r="K1082" s="2" t="s">
        <v>21</v>
      </c>
      <c r="L1082" s="2" t="s">
        <v>19</v>
      </c>
      <c r="M1082" s="2" t="s">
        <v>20</v>
      </c>
      <c r="N1082" s="2" t="n">
        <v>0</v>
      </c>
    </row>
    <row r="1083" customFormat="false" ht="15" hidden="false" customHeight="false" outlineLevel="0" collapsed="false">
      <c r="A1083" s="2" t="s">
        <v>26</v>
      </c>
      <c r="B1083" s="2" t="n">
        <v>1</v>
      </c>
      <c r="C1083" s="2" t="n">
        <v>1</v>
      </c>
      <c r="D1083" s="2" t="n">
        <v>1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84.1</v>
      </c>
      <c r="K1083" s="2" t="s">
        <v>21</v>
      </c>
      <c r="L1083" s="2" t="s">
        <v>19</v>
      </c>
      <c r="M1083" s="2" t="s">
        <v>22</v>
      </c>
      <c r="N1083" s="2" t="n">
        <v>0</v>
      </c>
    </row>
    <row r="1084" customFormat="false" ht="15" hidden="false" customHeight="false" outlineLevel="0" collapsed="false">
      <c r="A1084" s="2" t="s">
        <v>26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1</v>
      </c>
      <c r="H1084" s="2" t="n">
        <v>0</v>
      </c>
      <c r="I1084" s="2" t="n">
        <v>49.1</v>
      </c>
      <c r="K1084" s="2" t="s">
        <v>15</v>
      </c>
      <c r="L1084" s="2" t="s">
        <v>19</v>
      </c>
      <c r="M1084" s="2" t="s">
        <v>17</v>
      </c>
      <c r="N1084" s="2" t="n">
        <v>1</v>
      </c>
    </row>
    <row r="1085" customFormat="false" ht="15" hidden="false" customHeight="false" outlineLevel="0" collapsed="false">
      <c r="A1085" s="2" t="s">
        <v>26</v>
      </c>
      <c r="B1085" s="2" t="n">
        <v>0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92.7</v>
      </c>
      <c r="K1085" s="2" t="s">
        <v>23</v>
      </c>
      <c r="L1085" s="2" t="s">
        <v>19</v>
      </c>
      <c r="M1085" s="2" t="s">
        <v>22</v>
      </c>
      <c r="N1085" s="2" t="n">
        <v>0</v>
      </c>
    </row>
    <row r="1086" customFormat="false" ht="15" hidden="false" customHeight="false" outlineLevel="0" collapsed="false">
      <c r="A1086" s="2" t="s">
        <v>26</v>
      </c>
      <c r="B1086" s="2" t="n">
        <v>1</v>
      </c>
      <c r="C1086" s="2" t="n">
        <v>1</v>
      </c>
      <c r="D1086" s="2" t="n">
        <v>1</v>
      </c>
      <c r="E1086" s="2" t="n">
        <v>0</v>
      </c>
      <c r="F1086" s="2" t="n">
        <v>0</v>
      </c>
      <c r="G1086" s="2" t="n">
        <v>1</v>
      </c>
      <c r="H1086" s="2" t="n">
        <v>0</v>
      </c>
      <c r="I1086" s="2" t="n">
        <v>58.7</v>
      </c>
      <c r="K1086" s="2" t="s">
        <v>23</v>
      </c>
      <c r="L1086" s="2" t="s">
        <v>19</v>
      </c>
      <c r="M1086" s="2" t="s">
        <v>17</v>
      </c>
      <c r="N1086" s="2" t="n">
        <v>1</v>
      </c>
    </row>
    <row r="1087" customFormat="false" ht="15" hidden="false" customHeight="false" outlineLevel="0" collapsed="false">
      <c r="A1087" s="2" t="s">
        <v>26</v>
      </c>
      <c r="B1087" s="2" t="n">
        <v>1</v>
      </c>
      <c r="C1087" s="2" t="n">
        <v>1</v>
      </c>
      <c r="D1087" s="2" t="n">
        <v>1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59.3</v>
      </c>
      <c r="K1087" s="2" t="s">
        <v>23</v>
      </c>
      <c r="L1087" s="2" t="s">
        <v>19</v>
      </c>
      <c r="M1087" s="2" t="s">
        <v>20</v>
      </c>
      <c r="N1087" s="2" t="n">
        <v>0</v>
      </c>
    </row>
    <row r="1088" customFormat="false" ht="15" hidden="false" customHeight="false" outlineLevel="0" collapsed="false">
      <c r="A1088" s="2" t="s">
        <v>26</v>
      </c>
      <c r="B1088" s="2" t="n">
        <v>1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62</v>
      </c>
      <c r="K1088" s="2" t="s">
        <v>23</v>
      </c>
      <c r="L1088" s="2" t="s">
        <v>19</v>
      </c>
      <c r="M1088" s="2" t="s">
        <v>20</v>
      </c>
      <c r="N1088" s="2" t="n">
        <v>0</v>
      </c>
    </row>
    <row r="1089" customFormat="false" ht="15" hidden="false" customHeight="false" outlineLevel="0" collapsed="false">
      <c r="A1089" s="2" t="s">
        <v>26</v>
      </c>
      <c r="B1089" s="2" t="n">
        <v>1</v>
      </c>
      <c r="C1089" s="2" t="n">
        <v>1</v>
      </c>
      <c r="D1089" s="2" t="n">
        <v>1</v>
      </c>
      <c r="E1089" s="2" t="n">
        <v>0</v>
      </c>
      <c r="F1089" s="2" t="n">
        <v>0</v>
      </c>
      <c r="G1089" s="2" t="n">
        <v>1</v>
      </c>
      <c r="H1089" s="2" t="n">
        <v>0</v>
      </c>
      <c r="I1089" s="2" t="n">
        <v>60.3</v>
      </c>
      <c r="K1089" s="2" t="s">
        <v>15</v>
      </c>
      <c r="L1089" s="2" t="s">
        <v>24</v>
      </c>
      <c r="M1089" s="2" t="s">
        <v>20</v>
      </c>
      <c r="N1089" s="2" t="n">
        <v>1</v>
      </c>
    </row>
    <row r="1090" customFormat="false" ht="15" hidden="false" customHeight="false" outlineLevel="0" collapsed="false">
      <c r="A1090" s="2" t="s">
        <v>26</v>
      </c>
      <c r="B1090" s="2" t="n">
        <v>1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70.5</v>
      </c>
      <c r="K1090" s="2" t="s">
        <v>15</v>
      </c>
      <c r="L1090" s="2" t="s">
        <v>19</v>
      </c>
      <c r="M1090" s="2" t="s">
        <v>17</v>
      </c>
      <c r="N1090" s="2" t="n">
        <v>0</v>
      </c>
    </row>
    <row r="1091" customFormat="false" ht="15" hidden="false" customHeight="false" outlineLevel="0" collapsed="false">
      <c r="A1091" s="2" t="s">
        <v>26</v>
      </c>
      <c r="B1091" s="2" t="n">
        <v>1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36.8</v>
      </c>
      <c r="K1091" s="2" t="s">
        <v>23</v>
      </c>
      <c r="L1091" s="2" t="s">
        <v>16</v>
      </c>
      <c r="M1091" s="2" t="s">
        <v>20</v>
      </c>
      <c r="N1091" s="2" t="n">
        <v>0</v>
      </c>
    </row>
    <row r="1092" customFormat="false" ht="15" hidden="false" customHeight="false" outlineLevel="0" collapsed="false">
      <c r="A1092" s="2" t="s">
        <v>26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1</v>
      </c>
      <c r="H1092" s="2" t="n">
        <v>0</v>
      </c>
      <c r="I1092" s="2" t="n">
        <v>73.2</v>
      </c>
      <c r="K1092" s="2" t="s">
        <v>23</v>
      </c>
      <c r="L1092" s="2" t="s">
        <v>19</v>
      </c>
      <c r="M1092" s="2" t="s">
        <v>17</v>
      </c>
      <c r="N1092" s="2" t="n">
        <v>1</v>
      </c>
    </row>
    <row r="1093" customFormat="false" ht="15" hidden="false" customHeight="false" outlineLevel="0" collapsed="false">
      <c r="A1093" s="2" t="s">
        <v>26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70.1</v>
      </c>
      <c r="K1093" s="2" t="s">
        <v>15</v>
      </c>
      <c r="L1093" s="2" t="s">
        <v>19</v>
      </c>
      <c r="M1093" s="2" t="s">
        <v>17</v>
      </c>
      <c r="N1093" s="2" t="n">
        <v>0</v>
      </c>
    </row>
    <row r="1094" customFormat="false" ht="15" hidden="false" customHeight="false" outlineLevel="0" collapsed="false">
      <c r="A1094" s="2" t="s">
        <v>26</v>
      </c>
      <c r="B1094" s="2" t="n">
        <v>1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76.4</v>
      </c>
      <c r="K1094" s="2" t="s">
        <v>23</v>
      </c>
      <c r="L1094" s="2" t="s">
        <v>16</v>
      </c>
      <c r="M1094" s="2" t="s">
        <v>17</v>
      </c>
      <c r="N1094" s="2" t="n">
        <v>0</v>
      </c>
    </row>
    <row r="1095" customFormat="false" ht="15" hidden="false" customHeight="false" outlineLevel="0" collapsed="false">
      <c r="A1095" s="2" t="s">
        <v>26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46.4</v>
      </c>
      <c r="K1095" s="2" t="s">
        <v>23</v>
      </c>
      <c r="L1095" s="2" t="s">
        <v>24</v>
      </c>
      <c r="M1095" s="2" t="s">
        <v>17</v>
      </c>
      <c r="N1095" s="2" t="n">
        <v>0</v>
      </c>
    </row>
    <row r="1096" customFormat="false" ht="15" hidden="false" customHeight="false" outlineLevel="0" collapsed="false">
      <c r="A1096" s="2" t="s">
        <v>26</v>
      </c>
      <c r="B1096" s="2" t="n">
        <v>1</v>
      </c>
      <c r="C1096" s="2" t="n">
        <v>1</v>
      </c>
      <c r="D1096" s="2" t="n">
        <v>1</v>
      </c>
      <c r="E1096" s="2" t="n">
        <v>0</v>
      </c>
      <c r="F1096" s="2" t="n">
        <v>0</v>
      </c>
      <c r="G1096" s="2" t="n">
        <v>1</v>
      </c>
      <c r="H1096" s="2" t="n">
        <v>0</v>
      </c>
      <c r="I1096" s="2" t="n">
        <v>81.3</v>
      </c>
      <c r="K1096" s="2" t="s">
        <v>18</v>
      </c>
      <c r="L1096" s="2" t="s">
        <v>19</v>
      </c>
      <c r="M1096" s="2" t="s">
        <v>20</v>
      </c>
      <c r="N1096" s="2" t="n">
        <v>1</v>
      </c>
    </row>
    <row r="1097" customFormat="false" ht="15" hidden="false" customHeight="false" outlineLevel="0" collapsed="false">
      <c r="A1097" s="2" t="s">
        <v>26</v>
      </c>
      <c r="B1097" s="2" t="n">
        <v>1</v>
      </c>
      <c r="C1097" s="2" t="n">
        <v>1</v>
      </c>
      <c r="D1097" s="2" t="n">
        <v>1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55.3</v>
      </c>
      <c r="K1097" s="2" t="s">
        <v>23</v>
      </c>
      <c r="L1097" s="2" t="s">
        <v>24</v>
      </c>
      <c r="M1097" s="2" t="s">
        <v>20</v>
      </c>
      <c r="N1097" s="2" t="n">
        <v>0</v>
      </c>
    </row>
    <row r="1098" customFormat="false" ht="15" hidden="false" customHeight="false" outlineLevel="0" collapsed="false">
      <c r="A1098" s="2" t="s">
        <v>26</v>
      </c>
      <c r="B1098" s="2" t="n">
        <v>1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44.7</v>
      </c>
      <c r="K1098" s="2" t="s">
        <v>21</v>
      </c>
      <c r="L1098" s="2" t="s">
        <v>16</v>
      </c>
      <c r="M1098" s="2" t="s">
        <v>20</v>
      </c>
      <c r="N1098" s="2" t="n">
        <v>0</v>
      </c>
    </row>
    <row r="1099" customFormat="false" ht="15" hidden="false" customHeight="false" outlineLevel="0" collapsed="false">
      <c r="A1099" s="2" t="s">
        <v>26</v>
      </c>
      <c r="B1099" s="2" t="n">
        <v>1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67.2</v>
      </c>
      <c r="K1099" s="2" t="s">
        <v>21</v>
      </c>
      <c r="L1099" s="2" t="s">
        <v>19</v>
      </c>
      <c r="M1099" s="2" t="s">
        <v>17</v>
      </c>
      <c r="N1099" s="2" t="n">
        <v>0</v>
      </c>
    </row>
    <row r="1100" customFormat="false" ht="15" hidden="false" customHeight="false" outlineLevel="0" collapsed="false">
      <c r="A1100" s="2" t="s">
        <v>26</v>
      </c>
      <c r="B1100" s="2" t="n">
        <v>1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K1100" s="2" t="s">
        <v>15</v>
      </c>
      <c r="L1100" s="2" t="s">
        <v>19</v>
      </c>
      <c r="M1100" s="2" t="s">
        <v>17</v>
      </c>
      <c r="N1100" s="2" t="n">
        <v>0</v>
      </c>
    </row>
    <row r="1101" customFormat="false" ht="15" hidden="false" customHeight="false" outlineLevel="0" collapsed="false">
      <c r="A1101" s="2" t="s">
        <v>26</v>
      </c>
      <c r="B1101" s="2" t="n">
        <v>1</v>
      </c>
      <c r="C1101" s="2" t="n">
        <v>1</v>
      </c>
      <c r="D1101" s="2" t="n">
        <v>1</v>
      </c>
      <c r="E1101" s="2" t="n">
        <v>0</v>
      </c>
      <c r="F1101" s="2" t="n">
        <v>0</v>
      </c>
      <c r="G1101" s="2" t="n">
        <v>1</v>
      </c>
      <c r="H1101" s="2" t="n">
        <v>0</v>
      </c>
      <c r="I1101" s="2" t="n">
        <v>70.8</v>
      </c>
      <c r="K1101" s="2" t="s">
        <v>21</v>
      </c>
      <c r="L1101" s="2" t="s">
        <v>19</v>
      </c>
      <c r="M1101" s="2" t="s">
        <v>22</v>
      </c>
      <c r="N1101" s="2" t="n">
        <v>1</v>
      </c>
    </row>
    <row r="1102" customFormat="false" ht="15" hidden="false" customHeight="false" outlineLevel="0" collapsed="false">
      <c r="A1102" s="2" t="s">
        <v>26</v>
      </c>
      <c r="B1102" s="2" t="n">
        <v>1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71.3</v>
      </c>
      <c r="K1102" s="2" t="s">
        <v>23</v>
      </c>
      <c r="L1102" s="2" t="s">
        <v>19</v>
      </c>
      <c r="M1102" s="2" t="s">
        <v>20</v>
      </c>
      <c r="N1102" s="2" t="n">
        <v>0</v>
      </c>
    </row>
    <row r="1103" customFormat="false" ht="15" hidden="false" customHeight="false" outlineLevel="0" collapsed="false">
      <c r="A1103" s="2" t="s">
        <v>26</v>
      </c>
      <c r="B1103" s="2" t="n">
        <v>1</v>
      </c>
      <c r="C1103" s="2" t="n">
        <v>1</v>
      </c>
      <c r="D1103" s="2" t="n">
        <v>1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69.4</v>
      </c>
      <c r="K1103" s="2" t="s">
        <v>15</v>
      </c>
      <c r="L1103" s="2" t="s">
        <v>19</v>
      </c>
      <c r="M1103" s="2" t="s">
        <v>22</v>
      </c>
      <c r="N1103" s="2" t="n">
        <v>0</v>
      </c>
    </row>
    <row r="1104" customFormat="false" ht="15" hidden="false" customHeight="false" outlineLevel="0" collapsed="false">
      <c r="A1104" s="2" t="s">
        <v>26</v>
      </c>
      <c r="B1104" s="2" t="n">
        <v>1</v>
      </c>
      <c r="C1104" s="2" t="n">
        <v>1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58.9</v>
      </c>
      <c r="K1104" s="2" t="s">
        <v>23</v>
      </c>
      <c r="L1104" s="2" t="s">
        <v>19</v>
      </c>
      <c r="M1104" s="2" t="s">
        <v>17</v>
      </c>
      <c r="N1104" s="2" t="n">
        <v>0</v>
      </c>
    </row>
    <row r="1105" customFormat="false" ht="15" hidden="false" customHeight="false" outlineLevel="0" collapsed="false">
      <c r="A1105" s="2" t="s">
        <v>26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70.7</v>
      </c>
      <c r="K1105" s="2" t="s">
        <v>21</v>
      </c>
      <c r="L1105" s="2" t="s">
        <v>19</v>
      </c>
      <c r="M1105" s="2" t="s">
        <v>20</v>
      </c>
      <c r="N1105" s="2" t="n">
        <v>0</v>
      </c>
    </row>
    <row r="1106" customFormat="false" ht="15" hidden="false" customHeight="false" outlineLevel="0" collapsed="false">
      <c r="A1106" s="2" t="s">
        <v>26</v>
      </c>
      <c r="B1106" s="2" t="n">
        <v>1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60.5</v>
      </c>
      <c r="K1106" s="2" t="s">
        <v>18</v>
      </c>
      <c r="L1106" s="2" t="s">
        <v>19</v>
      </c>
      <c r="M1106" s="2" t="s">
        <v>17</v>
      </c>
      <c r="N1106" s="2" t="n">
        <v>0</v>
      </c>
    </row>
    <row r="1107" customFormat="false" ht="15" hidden="false" customHeight="false" outlineLevel="0" collapsed="false">
      <c r="A1107" s="2" t="s">
        <v>26</v>
      </c>
      <c r="B1107" s="2" t="n">
        <v>1</v>
      </c>
      <c r="C1107" s="2" t="n">
        <v>1</v>
      </c>
      <c r="D1107" s="2" t="n">
        <v>1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77.3</v>
      </c>
      <c r="K1107" s="2" t="s">
        <v>15</v>
      </c>
      <c r="L1107" s="2" t="s">
        <v>19</v>
      </c>
      <c r="M1107" s="2" t="s">
        <v>17</v>
      </c>
      <c r="N1107" s="2" t="n">
        <v>0</v>
      </c>
    </row>
    <row r="1108" customFormat="false" ht="15" hidden="false" customHeight="false" outlineLevel="0" collapsed="false">
      <c r="A1108" s="2" t="s">
        <v>26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1</v>
      </c>
      <c r="H1108" s="2" t="n">
        <v>0</v>
      </c>
      <c r="I1108" s="2" t="n">
        <v>39.5</v>
      </c>
      <c r="K1108" s="2" t="s">
        <v>15</v>
      </c>
      <c r="L1108" s="2" t="s">
        <v>19</v>
      </c>
      <c r="M1108" s="2" t="s">
        <v>20</v>
      </c>
      <c r="N1108" s="2" t="n">
        <v>1</v>
      </c>
    </row>
    <row r="1109" customFormat="false" ht="15" hidden="false" customHeight="false" outlineLevel="0" collapsed="false">
      <c r="A1109" s="2" t="s">
        <v>26</v>
      </c>
      <c r="B1109" s="2" t="n">
        <v>1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68.1</v>
      </c>
      <c r="K1109" s="2" t="s">
        <v>23</v>
      </c>
      <c r="L1109" s="2" t="s">
        <v>24</v>
      </c>
      <c r="M1109" s="2" t="s">
        <v>17</v>
      </c>
      <c r="N1109" s="2" t="n">
        <v>0</v>
      </c>
    </row>
    <row r="1110" customFormat="false" ht="15" hidden="false" customHeight="false" outlineLevel="0" collapsed="false">
      <c r="A1110" s="2" t="s">
        <v>26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80.3</v>
      </c>
      <c r="K1110" s="2" t="s">
        <v>15</v>
      </c>
      <c r="L1110" s="2" t="s">
        <v>24</v>
      </c>
      <c r="M1110" s="2" t="s">
        <v>20</v>
      </c>
      <c r="N1110" s="2" t="n">
        <v>0</v>
      </c>
    </row>
    <row r="1111" customFormat="false" ht="15" hidden="false" customHeight="false" outlineLevel="0" collapsed="false">
      <c r="A1111" s="2" t="s">
        <v>26</v>
      </c>
      <c r="B1111" s="2" t="n">
        <v>1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77.7</v>
      </c>
      <c r="K1111" s="2" t="s">
        <v>18</v>
      </c>
      <c r="L1111" s="2" t="s">
        <v>16</v>
      </c>
      <c r="M1111" s="2" t="s">
        <v>22</v>
      </c>
      <c r="N1111" s="2" t="n">
        <v>0</v>
      </c>
    </row>
    <row r="1112" customFormat="false" ht="15" hidden="false" customHeight="false" outlineLevel="0" collapsed="false">
      <c r="A1112" s="2" t="s">
        <v>26</v>
      </c>
      <c r="B1112" s="2" t="n">
        <v>1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1</v>
      </c>
      <c r="H1112" s="2" t="n">
        <v>0</v>
      </c>
      <c r="I1112" s="2" t="n">
        <v>66.2</v>
      </c>
      <c r="K1112" s="2" t="s">
        <v>23</v>
      </c>
      <c r="L1112" s="2" t="s">
        <v>19</v>
      </c>
      <c r="M1112" s="2" t="s">
        <v>20</v>
      </c>
      <c r="N1112" s="2" t="n">
        <v>1</v>
      </c>
    </row>
    <row r="1113" customFormat="false" ht="15" hidden="false" customHeight="false" outlineLevel="0" collapsed="false">
      <c r="A1113" s="2" t="s">
        <v>26</v>
      </c>
      <c r="B1113" s="2" t="n">
        <v>1</v>
      </c>
      <c r="C1113" s="2" t="n">
        <v>1</v>
      </c>
      <c r="D1113" s="2" t="n">
        <v>1</v>
      </c>
      <c r="E1113" s="2" t="n">
        <v>0</v>
      </c>
      <c r="F1113" s="2" t="n">
        <v>0</v>
      </c>
      <c r="G1113" s="2" t="n">
        <v>1</v>
      </c>
      <c r="H1113" s="2" t="n">
        <v>0</v>
      </c>
      <c r="I1113" s="2" t="n">
        <v>43.9</v>
      </c>
      <c r="K1113" s="2" t="s">
        <v>23</v>
      </c>
      <c r="L1113" s="2" t="s">
        <v>19</v>
      </c>
      <c r="M1113" s="2" t="s">
        <v>20</v>
      </c>
      <c r="N1113" s="2" t="n">
        <v>1</v>
      </c>
    </row>
    <row r="1114" customFormat="false" ht="15" hidden="false" customHeight="false" outlineLevel="0" collapsed="false">
      <c r="A1114" s="2" t="s">
        <v>26</v>
      </c>
      <c r="B1114" s="2" t="n">
        <v>1</v>
      </c>
      <c r="C1114" s="2" t="n">
        <v>1</v>
      </c>
      <c r="D1114" s="2" t="n">
        <v>1</v>
      </c>
      <c r="E1114" s="2" t="n">
        <v>0</v>
      </c>
      <c r="F1114" s="2" t="n">
        <v>0</v>
      </c>
      <c r="G1114" s="2" t="n">
        <v>1</v>
      </c>
      <c r="H1114" s="2" t="n">
        <v>0</v>
      </c>
      <c r="I1114" s="2" t="n">
        <v>59.1</v>
      </c>
      <c r="K1114" s="2" t="s">
        <v>23</v>
      </c>
      <c r="L1114" s="2" t="s">
        <v>19</v>
      </c>
      <c r="M1114" s="2" t="s">
        <v>17</v>
      </c>
      <c r="N1114" s="2" t="n">
        <v>2</v>
      </c>
    </row>
    <row r="1115" customFormat="false" ht="15" hidden="false" customHeight="false" outlineLevel="0" collapsed="false">
      <c r="A1115" s="2" t="s">
        <v>26</v>
      </c>
      <c r="B1115" s="2" t="n">
        <v>1</v>
      </c>
      <c r="C1115" s="2" t="n">
        <v>1</v>
      </c>
      <c r="D1115" s="2" t="n">
        <v>1</v>
      </c>
      <c r="E1115" s="2" t="n">
        <v>1</v>
      </c>
      <c r="F1115" s="2" t="n">
        <v>416.94</v>
      </c>
      <c r="G1115" s="2" t="n">
        <v>1</v>
      </c>
      <c r="H1115" s="2" t="n">
        <v>0</v>
      </c>
      <c r="I1115" s="2" t="n">
        <v>67</v>
      </c>
      <c r="J1115" s="2" t="n">
        <v>11</v>
      </c>
      <c r="K1115" s="2" t="s">
        <v>23</v>
      </c>
      <c r="L1115" s="2" t="s">
        <v>19</v>
      </c>
      <c r="M1115" s="2" t="s">
        <v>20</v>
      </c>
      <c r="N1115" s="2" t="n">
        <v>1</v>
      </c>
    </row>
    <row r="1116" customFormat="false" ht="15" hidden="false" customHeight="false" outlineLevel="0" collapsed="false">
      <c r="A1116" s="2" t="s">
        <v>26</v>
      </c>
      <c r="B1116" s="2" t="n">
        <v>1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47.9</v>
      </c>
      <c r="K1116" s="2" t="s">
        <v>18</v>
      </c>
      <c r="L1116" s="2" t="s">
        <v>19</v>
      </c>
      <c r="M1116" s="2" t="s">
        <v>17</v>
      </c>
      <c r="N1116" s="2" t="n">
        <v>0</v>
      </c>
    </row>
    <row r="1117" customFormat="false" ht="15" hidden="false" customHeight="false" outlineLevel="0" collapsed="false">
      <c r="A1117" s="2" t="s">
        <v>26</v>
      </c>
      <c r="B1117" s="2" t="n">
        <v>1</v>
      </c>
      <c r="C1117" s="2" t="n">
        <v>1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41.5</v>
      </c>
      <c r="K1117" s="2" t="s">
        <v>21</v>
      </c>
      <c r="L1117" s="2" t="s">
        <v>19</v>
      </c>
      <c r="M1117" s="2" t="s">
        <v>20</v>
      </c>
      <c r="N1117" s="2" t="n">
        <v>0</v>
      </c>
    </row>
    <row r="1118" customFormat="false" ht="15" hidden="false" customHeight="false" outlineLevel="0" collapsed="false">
      <c r="A1118" s="2" t="s">
        <v>26</v>
      </c>
      <c r="B1118" s="2" t="n">
        <v>1</v>
      </c>
      <c r="C1118" s="2" t="n">
        <v>1</v>
      </c>
      <c r="D1118" s="2" t="n">
        <v>1</v>
      </c>
      <c r="E1118" s="2" t="n">
        <v>0</v>
      </c>
      <c r="F1118" s="2" t="n">
        <v>0</v>
      </c>
      <c r="G1118" s="2" t="n">
        <v>1</v>
      </c>
      <c r="H1118" s="2" t="n">
        <v>0</v>
      </c>
      <c r="I1118" s="2" t="n">
        <v>30.6</v>
      </c>
      <c r="K1118" s="2" t="s">
        <v>18</v>
      </c>
      <c r="L1118" s="2" t="s">
        <v>19</v>
      </c>
      <c r="M1118" s="2" t="s">
        <v>17</v>
      </c>
      <c r="N1118" s="2" t="n">
        <v>3</v>
      </c>
    </row>
    <row r="1119" customFormat="false" ht="15" hidden="false" customHeight="false" outlineLevel="0" collapsed="false">
      <c r="A1119" s="2" t="s">
        <v>26</v>
      </c>
      <c r="B1119" s="2" t="n">
        <v>1</v>
      </c>
      <c r="C1119" s="2" t="n">
        <v>1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91.5</v>
      </c>
      <c r="K1119" s="2" t="s">
        <v>21</v>
      </c>
      <c r="L1119" s="2" t="s">
        <v>19</v>
      </c>
      <c r="M1119" s="2" t="s">
        <v>20</v>
      </c>
      <c r="N1119" s="2" t="n">
        <v>0</v>
      </c>
    </row>
    <row r="1120" customFormat="false" ht="15" hidden="false" customHeight="false" outlineLevel="0" collapsed="false">
      <c r="A1120" s="2" t="s">
        <v>26</v>
      </c>
      <c r="B1120" s="2" t="n">
        <v>1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80.8</v>
      </c>
      <c r="K1120" s="2" t="s">
        <v>15</v>
      </c>
      <c r="L1120" s="2" t="s">
        <v>16</v>
      </c>
      <c r="M1120" s="2" t="s">
        <v>17</v>
      </c>
      <c r="N1120" s="2" t="n">
        <v>0</v>
      </c>
    </row>
    <row r="1121" customFormat="false" ht="15" hidden="false" customHeight="false" outlineLevel="0" collapsed="false">
      <c r="A1121" s="2" t="s">
        <v>26</v>
      </c>
      <c r="B1121" s="2" t="n">
        <v>1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68.1</v>
      </c>
      <c r="K1121" s="2" t="s">
        <v>15</v>
      </c>
      <c r="L1121" s="2" t="s">
        <v>19</v>
      </c>
      <c r="M1121" s="2" t="s">
        <v>22</v>
      </c>
      <c r="N1121" s="2" t="n">
        <v>0</v>
      </c>
    </row>
    <row r="1122" customFormat="false" ht="15" hidden="false" customHeight="false" outlineLevel="0" collapsed="false">
      <c r="A1122" s="2" t="s">
        <v>26</v>
      </c>
      <c r="B1122" s="2" t="n">
        <v>1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80.3</v>
      </c>
      <c r="K1122" s="2" t="s">
        <v>21</v>
      </c>
      <c r="L1122" s="2" t="s">
        <v>19</v>
      </c>
      <c r="M1122" s="2" t="s">
        <v>20</v>
      </c>
      <c r="N1122" s="2" t="n">
        <v>0</v>
      </c>
    </row>
    <row r="1123" customFormat="false" ht="15" hidden="false" customHeight="false" outlineLevel="0" collapsed="false">
      <c r="A1123" s="2" t="s">
        <v>26</v>
      </c>
      <c r="B1123" s="2" t="n">
        <v>1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44.4</v>
      </c>
      <c r="K1123" s="2" t="s">
        <v>23</v>
      </c>
      <c r="L1123" s="2" t="s">
        <v>24</v>
      </c>
      <c r="M1123" s="2" t="s">
        <v>17</v>
      </c>
      <c r="N1123" s="2" t="n">
        <v>0</v>
      </c>
    </row>
    <row r="1124" customFormat="false" ht="15" hidden="false" customHeight="false" outlineLevel="0" collapsed="false">
      <c r="A1124" s="2" t="s">
        <v>26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51.9</v>
      </c>
      <c r="K1124" s="2" t="s">
        <v>23</v>
      </c>
      <c r="L1124" s="2" t="s">
        <v>16</v>
      </c>
      <c r="M1124" s="2" t="s">
        <v>17</v>
      </c>
      <c r="N1124" s="2" t="n">
        <v>0</v>
      </c>
    </row>
    <row r="1125" customFormat="false" ht="15" hidden="false" customHeight="false" outlineLevel="0" collapsed="false">
      <c r="A1125" s="2" t="s">
        <v>26</v>
      </c>
      <c r="B1125" s="2" t="n">
        <v>1</v>
      </c>
      <c r="C1125" s="2" t="n">
        <v>1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49.8</v>
      </c>
      <c r="K1125" s="2" t="s">
        <v>21</v>
      </c>
      <c r="L1125" s="2" t="s">
        <v>19</v>
      </c>
      <c r="M1125" s="2" t="s">
        <v>20</v>
      </c>
      <c r="N1125" s="2" t="n">
        <v>0</v>
      </c>
    </row>
    <row r="1126" customFormat="false" ht="15" hidden="false" customHeight="false" outlineLevel="0" collapsed="false">
      <c r="A1126" s="2" t="s">
        <v>26</v>
      </c>
      <c r="B1126" s="2" t="n">
        <v>1</v>
      </c>
      <c r="C1126" s="2" t="n">
        <v>1</v>
      </c>
      <c r="D1126" s="2" t="n">
        <v>1</v>
      </c>
      <c r="E1126" s="2" t="n">
        <v>0</v>
      </c>
      <c r="F1126" s="2" t="n">
        <v>0</v>
      </c>
      <c r="G1126" s="2" t="n">
        <v>1</v>
      </c>
      <c r="H1126" s="2" t="n">
        <v>0</v>
      </c>
      <c r="I1126" s="2" t="n">
        <v>62.1</v>
      </c>
      <c r="K1126" s="2" t="s">
        <v>21</v>
      </c>
      <c r="L1126" s="2" t="s">
        <v>16</v>
      </c>
      <c r="M1126" s="2" t="s">
        <v>20</v>
      </c>
      <c r="N1126" s="2" t="n">
        <v>3</v>
      </c>
    </row>
    <row r="1127" customFormat="false" ht="15" hidden="false" customHeight="false" outlineLevel="0" collapsed="false">
      <c r="A1127" s="2" t="s">
        <v>26</v>
      </c>
      <c r="B1127" s="2" t="n">
        <v>1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91.3</v>
      </c>
      <c r="K1127" s="2" t="s">
        <v>18</v>
      </c>
      <c r="L1127" s="2" t="s">
        <v>16</v>
      </c>
      <c r="M1127" s="2" t="s">
        <v>17</v>
      </c>
      <c r="N1127" s="2" t="n">
        <v>0</v>
      </c>
    </row>
    <row r="1128" customFormat="false" ht="15" hidden="false" customHeight="false" outlineLevel="0" collapsed="false">
      <c r="A1128" s="2" t="s">
        <v>26</v>
      </c>
      <c r="B1128" s="2" t="n">
        <v>1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66.4</v>
      </c>
      <c r="K1128" s="2" t="s">
        <v>23</v>
      </c>
      <c r="L1128" s="2" t="s">
        <v>19</v>
      </c>
      <c r="M1128" s="2" t="s">
        <v>17</v>
      </c>
      <c r="N1128" s="2" t="n">
        <v>0</v>
      </c>
    </row>
    <row r="1129" customFormat="false" ht="15" hidden="false" customHeight="false" outlineLevel="0" collapsed="false">
      <c r="A1129" s="2" t="s">
        <v>26</v>
      </c>
      <c r="B1129" s="2" t="n">
        <v>1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41.5</v>
      </c>
      <c r="K1129" s="2" t="s">
        <v>21</v>
      </c>
      <c r="L1129" s="2" t="s">
        <v>19</v>
      </c>
      <c r="M1129" s="2" t="s">
        <v>17</v>
      </c>
      <c r="N1129" s="2" t="n">
        <v>0</v>
      </c>
    </row>
    <row r="1130" customFormat="false" ht="15" hidden="false" customHeight="false" outlineLevel="0" collapsed="false">
      <c r="A1130" s="2" t="s">
        <v>26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77.1</v>
      </c>
      <c r="K1130" s="2" t="s">
        <v>18</v>
      </c>
      <c r="L1130" s="2" t="s">
        <v>19</v>
      </c>
      <c r="M1130" s="2" t="s">
        <v>17</v>
      </c>
      <c r="N1130" s="2" t="n">
        <v>0</v>
      </c>
    </row>
    <row r="1131" customFormat="false" ht="15" hidden="false" customHeight="false" outlineLevel="0" collapsed="false">
      <c r="A1131" s="2" t="s">
        <v>26</v>
      </c>
      <c r="B1131" s="2" t="n">
        <v>1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63.2</v>
      </c>
      <c r="K1131" s="2" t="s">
        <v>18</v>
      </c>
      <c r="L1131" s="2" t="s">
        <v>19</v>
      </c>
      <c r="M1131" s="2" t="s">
        <v>20</v>
      </c>
      <c r="N1131" s="2" t="n">
        <v>0</v>
      </c>
    </row>
    <row r="1132" customFormat="false" ht="15" hidden="false" customHeight="false" outlineLevel="0" collapsed="false">
      <c r="A1132" s="2" t="s">
        <v>26</v>
      </c>
      <c r="B1132" s="2" t="n">
        <v>1</v>
      </c>
      <c r="C1132" s="2" t="n">
        <v>1</v>
      </c>
      <c r="D1132" s="2" t="n">
        <v>1</v>
      </c>
      <c r="E1132" s="2" t="n">
        <v>0</v>
      </c>
      <c r="F1132" s="2" t="n">
        <v>0</v>
      </c>
      <c r="G1132" s="2" t="n">
        <v>1</v>
      </c>
      <c r="H1132" s="2" t="n">
        <v>0</v>
      </c>
      <c r="I1132" s="2" t="n">
        <v>75.7</v>
      </c>
      <c r="K1132" s="2" t="s">
        <v>18</v>
      </c>
      <c r="L1132" s="2" t="s">
        <v>16</v>
      </c>
      <c r="M1132" s="2" t="s">
        <v>20</v>
      </c>
      <c r="N1132" s="2" t="n">
        <v>3</v>
      </c>
    </row>
    <row r="1133" customFormat="false" ht="15" hidden="false" customHeight="false" outlineLevel="0" collapsed="false">
      <c r="A1133" s="2" t="s">
        <v>26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62.9</v>
      </c>
      <c r="K1133" s="2" t="s">
        <v>18</v>
      </c>
      <c r="L1133" s="2" t="s">
        <v>19</v>
      </c>
      <c r="M1133" s="2" t="s">
        <v>17</v>
      </c>
      <c r="N1133" s="2" t="n">
        <v>0</v>
      </c>
    </row>
    <row r="1134" customFormat="false" ht="15" hidden="false" customHeight="false" outlineLevel="0" collapsed="false">
      <c r="A1134" s="2" t="s">
        <v>26</v>
      </c>
      <c r="B1134" s="2" t="n">
        <v>1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1</v>
      </c>
      <c r="H1134" s="2" t="n">
        <v>0</v>
      </c>
      <c r="I1134" s="2" t="n">
        <v>64.6</v>
      </c>
      <c r="K1134" s="2" t="s">
        <v>15</v>
      </c>
      <c r="L1134" s="2" t="s">
        <v>16</v>
      </c>
      <c r="M1134" s="2" t="s">
        <v>22</v>
      </c>
      <c r="N1134" s="2" t="n">
        <v>3</v>
      </c>
    </row>
    <row r="1135" customFormat="false" ht="15" hidden="false" customHeight="false" outlineLevel="0" collapsed="false">
      <c r="A1135" s="2" t="s">
        <v>26</v>
      </c>
      <c r="B1135" s="2" t="n">
        <v>1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76.6</v>
      </c>
      <c r="K1135" s="2" t="s">
        <v>15</v>
      </c>
      <c r="L1135" s="2" t="s">
        <v>19</v>
      </c>
      <c r="M1135" s="2" t="s">
        <v>17</v>
      </c>
      <c r="N1135" s="2" t="n">
        <v>0</v>
      </c>
    </row>
    <row r="1136" customFormat="false" ht="15" hidden="false" customHeight="false" outlineLevel="0" collapsed="false">
      <c r="A1136" s="2" t="s">
        <v>26</v>
      </c>
      <c r="B1136" s="2" t="n">
        <v>1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74.8</v>
      </c>
      <c r="K1136" s="2" t="s">
        <v>21</v>
      </c>
      <c r="L1136" s="2" t="s">
        <v>19</v>
      </c>
      <c r="M1136" s="2" t="s">
        <v>17</v>
      </c>
      <c r="N1136" s="2" t="n">
        <v>0</v>
      </c>
    </row>
    <row r="1137" customFormat="false" ht="15" hidden="false" customHeight="false" outlineLevel="0" collapsed="false">
      <c r="A1137" s="2" t="s">
        <v>26</v>
      </c>
      <c r="B1137" s="2" t="n">
        <v>1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1</v>
      </c>
      <c r="H1137" s="2" t="n">
        <v>0</v>
      </c>
      <c r="I1137" s="2" t="n">
        <v>38.1</v>
      </c>
      <c r="K1137" s="2" t="s">
        <v>21</v>
      </c>
      <c r="L1137" s="2" t="s">
        <v>16</v>
      </c>
      <c r="M1137" s="2" t="s">
        <v>22</v>
      </c>
      <c r="N1137" s="2" t="n">
        <v>2</v>
      </c>
    </row>
    <row r="1138" customFormat="false" ht="15" hidden="false" customHeight="false" outlineLevel="0" collapsed="false">
      <c r="A1138" s="2" t="s">
        <v>26</v>
      </c>
      <c r="B1138" s="2" t="n">
        <v>1</v>
      </c>
      <c r="C1138" s="2" t="n">
        <v>1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60.2</v>
      </c>
      <c r="K1138" s="2" t="s">
        <v>23</v>
      </c>
      <c r="L1138" s="2" t="s">
        <v>24</v>
      </c>
      <c r="M1138" s="2" t="s">
        <v>17</v>
      </c>
      <c r="N1138" s="2" t="n">
        <v>0</v>
      </c>
    </row>
    <row r="1139" customFormat="false" ht="15" hidden="false" customHeight="false" outlineLevel="0" collapsed="false">
      <c r="A1139" s="2" t="s">
        <v>26</v>
      </c>
      <c r="B1139" s="2" t="n">
        <v>1</v>
      </c>
      <c r="C1139" s="2" t="n">
        <v>1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73.5</v>
      </c>
      <c r="K1139" s="2" t="s">
        <v>18</v>
      </c>
      <c r="L1139" s="2" t="s">
        <v>19</v>
      </c>
      <c r="M1139" s="2" t="s">
        <v>20</v>
      </c>
      <c r="N1139" s="2" t="n">
        <v>0</v>
      </c>
    </row>
    <row r="1140" customFormat="false" ht="15" hidden="false" customHeight="false" outlineLevel="0" collapsed="false">
      <c r="A1140" s="2" t="s">
        <v>26</v>
      </c>
      <c r="B1140" s="2" t="n">
        <v>1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70.9</v>
      </c>
      <c r="K1140" s="2" t="s">
        <v>23</v>
      </c>
      <c r="L1140" s="2" t="s">
        <v>19</v>
      </c>
      <c r="M1140" s="2" t="s">
        <v>20</v>
      </c>
      <c r="N1140" s="2" t="n">
        <v>0</v>
      </c>
    </row>
    <row r="1141" customFormat="false" ht="15" hidden="false" customHeight="false" outlineLevel="0" collapsed="false">
      <c r="A1141" s="2" t="s">
        <v>26</v>
      </c>
      <c r="B1141" s="2" t="n">
        <v>1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63.7</v>
      </c>
      <c r="K1141" s="2" t="s">
        <v>18</v>
      </c>
      <c r="L1141" s="2" t="s">
        <v>19</v>
      </c>
      <c r="M1141" s="2" t="s">
        <v>20</v>
      </c>
      <c r="N1141" s="2" t="n">
        <v>0</v>
      </c>
    </row>
    <row r="1142" customFormat="false" ht="15" hidden="false" customHeight="false" outlineLevel="0" collapsed="false">
      <c r="A1142" s="2" t="s">
        <v>26</v>
      </c>
      <c r="B1142" s="2" t="n">
        <v>1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86.5</v>
      </c>
      <c r="K1142" s="2" t="s">
        <v>23</v>
      </c>
      <c r="L1142" s="2" t="s">
        <v>19</v>
      </c>
      <c r="M1142" s="2" t="s">
        <v>20</v>
      </c>
      <c r="N1142" s="2" t="n">
        <v>0</v>
      </c>
    </row>
    <row r="1143" customFormat="false" ht="15" hidden="false" customHeight="false" outlineLevel="0" collapsed="false">
      <c r="A1143" s="2" t="s">
        <v>26</v>
      </c>
      <c r="B1143" s="2" t="n">
        <v>1</v>
      </c>
      <c r="C1143" s="2" t="n">
        <v>1</v>
      </c>
      <c r="D1143" s="2" t="n">
        <v>1</v>
      </c>
      <c r="E1143" s="2" t="n">
        <v>1</v>
      </c>
      <c r="F1143" s="2" t="n">
        <v>921.72</v>
      </c>
      <c r="G1143" s="2" t="n">
        <v>1</v>
      </c>
      <c r="H1143" s="2" t="n">
        <v>0</v>
      </c>
      <c r="I1143" s="2" t="n">
        <v>74.6</v>
      </c>
      <c r="J1143" s="2" t="n">
        <v>7</v>
      </c>
      <c r="K1143" s="2" t="s">
        <v>21</v>
      </c>
      <c r="L1143" s="2" t="s">
        <v>19</v>
      </c>
      <c r="M1143" s="2" t="s">
        <v>17</v>
      </c>
      <c r="N1143" s="2" t="n">
        <v>3</v>
      </c>
    </row>
    <row r="1144" customFormat="false" ht="15" hidden="false" customHeight="false" outlineLevel="0" collapsed="false">
      <c r="A1144" s="2" t="s">
        <v>26</v>
      </c>
      <c r="B1144" s="2" t="n">
        <v>1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46.6</v>
      </c>
      <c r="K1144" s="2" t="s">
        <v>21</v>
      </c>
      <c r="L1144" s="2" t="s">
        <v>19</v>
      </c>
      <c r="M1144" s="2" t="s">
        <v>20</v>
      </c>
      <c r="N1144" s="2" t="n">
        <v>0</v>
      </c>
    </row>
    <row r="1145" customFormat="false" ht="15" hidden="false" customHeight="false" outlineLevel="0" collapsed="false">
      <c r="A1145" s="2" t="s">
        <v>26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61.2</v>
      </c>
      <c r="K1145" s="2" t="s">
        <v>15</v>
      </c>
      <c r="L1145" s="2" t="s">
        <v>19</v>
      </c>
      <c r="M1145" s="2" t="s">
        <v>20</v>
      </c>
      <c r="N1145" s="2" t="n">
        <v>0</v>
      </c>
    </row>
    <row r="1146" customFormat="false" ht="15" hidden="false" customHeight="false" outlineLevel="0" collapsed="false">
      <c r="A1146" s="2" t="s">
        <v>26</v>
      </c>
      <c r="B1146" s="2" t="n">
        <v>1</v>
      </c>
      <c r="C1146" s="2" t="n">
        <v>1</v>
      </c>
      <c r="D1146" s="2" t="n">
        <v>1</v>
      </c>
      <c r="E1146" s="2" t="n">
        <v>1</v>
      </c>
      <c r="F1146" s="2" t="n">
        <v>290.39</v>
      </c>
      <c r="G1146" s="2" t="n">
        <v>0</v>
      </c>
      <c r="H1146" s="2" t="n">
        <v>0</v>
      </c>
      <c r="I1146" s="2" t="n">
        <v>54.4</v>
      </c>
      <c r="J1146" s="2" t="n">
        <v>4</v>
      </c>
      <c r="K1146" s="2" t="s">
        <v>18</v>
      </c>
      <c r="L1146" s="2" t="s">
        <v>19</v>
      </c>
      <c r="M1146" s="2" t="s">
        <v>20</v>
      </c>
      <c r="N1146" s="2" t="n">
        <v>0</v>
      </c>
    </row>
    <row r="1147" customFormat="false" ht="15" hidden="false" customHeight="false" outlineLevel="0" collapsed="false">
      <c r="A1147" s="2" t="s">
        <v>26</v>
      </c>
      <c r="B1147" s="2" t="n">
        <v>1</v>
      </c>
      <c r="C1147" s="2" t="n">
        <v>1</v>
      </c>
      <c r="D1147" s="2" t="n">
        <v>1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72</v>
      </c>
      <c r="K1147" s="2" t="s">
        <v>15</v>
      </c>
      <c r="L1147" s="2" t="s">
        <v>19</v>
      </c>
      <c r="M1147" s="2" t="s">
        <v>20</v>
      </c>
      <c r="N1147" s="2" t="n">
        <v>0</v>
      </c>
    </row>
    <row r="1148" customFormat="false" ht="15" hidden="false" customHeight="false" outlineLevel="0" collapsed="false">
      <c r="A1148" s="2" t="s">
        <v>26</v>
      </c>
      <c r="B1148" s="2" t="n">
        <v>1</v>
      </c>
      <c r="C1148" s="2" t="n">
        <v>1</v>
      </c>
      <c r="D1148" s="2" t="n">
        <v>1</v>
      </c>
      <c r="E1148" s="2" t="n">
        <v>1</v>
      </c>
      <c r="F1148" s="2" t="n">
        <v>1858.85</v>
      </c>
      <c r="G1148" s="2" t="n">
        <v>0</v>
      </c>
      <c r="H1148" s="2" t="n">
        <v>0</v>
      </c>
      <c r="I1148" s="2" t="n">
        <v>88.6</v>
      </c>
      <c r="J1148" s="2" t="n">
        <v>8</v>
      </c>
      <c r="K1148" s="2" t="s">
        <v>23</v>
      </c>
      <c r="L1148" s="2" t="s">
        <v>19</v>
      </c>
      <c r="M1148" s="2" t="s">
        <v>22</v>
      </c>
      <c r="N1148" s="2" t="n">
        <v>0</v>
      </c>
    </row>
    <row r="1149" customFormat="false" ht="15" hidden="false" customHeight="false" outlineLevel="0" collapsed="false">
      <c r="A1149" s="2" t="s">
        <v>26</v>
      </c>
      <c r="B1149" s="2" t="n">
        <v>1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77.6</v>
      </c>
      <c r="K1149" s="2" t="s">
        <v>21</v>
      </c>
      <c r="L1149" s="2" t="s">
        <v>16</v>
      </c>
      <c r="M1149" s="2" t="s">
        <v>17</v>
      </c>
      <c r="N1149" s="2" t="n">
        <v>0</v>
      </c>
    </row>
    <row r="1150" customFormat="false" ht="15" hidden="false" customHeight="false" outlineLevel="0" collapsed="false">
      <c r="A1150" s="2" t="s">
        <v>26</v>
      </c>
      <c r="B1150" s="2" t="n">
        <v>1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1</v>
      </c>
      <c r="H1150" s="2" t="n">
        <v>0</v>
      </c>
      <c r="I1150" s="2" t="n">
        <v>44.3</v>
      </c>
      <c r="K1150" s="2" t="s">
        <v>23</v>
      </c>
      <c r="L1150" s="2" t="s">
        <v>19</v>
      </c>
      <c r="M1150" s="2" t="s">
        <v>17</v>
      </c>
      <c r="N1150" s="2" t="n">
        <v>1</v>
      </c>
    </row>
    <row r="1151" customFormat="false" ht="15" hidden="false" customHeight="false" outlineLevel="0" collapsed="false">
      <c r="A1151" s="2" t="s">
        <v>26</v>
      </c>
      <c r="B1151" s="2" t="n">
        <v>1</v>
      </c>
      <c r="C1151" s="2" t="n">
        <v>1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49</v>
      </c>
      <c r="K1151" s="2" t="s">
        <v>23</v>
      </c>
      <c r="L1151" s="2" t="s">
        <v>16</v>
      </c>
      <c r="M1151" s="2" t="s">
        <v>20</v>
      </c>
      <c r="N1151" s="2" t="n">
        <v>0</v>
      </c>
    </row>
    <row r="1152" customFormat="false" ht="15" hidden="false" customHeight="false" outlineLevel="0" collapsed="false">
      <c r="A1152" s="2" t="s">
        <v>26</v>
      </c>
      <c r="B1152" s="2" t="n">
        <v>1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53.9</v>
      </c>
      <c r="K1152" s="2" t="s">
        <v>15</v>
      </c>
      <c r="L1152" s="2" t="s">
        <v>16</v>
      </c>
      <c r="M1152" s="2" t="s">
        <v>22</v>
      </c>
      <c r="N1152" s="2" t="n">
        <v>0</v>
      </c>
    </row>
    <row r="1153" customFormat="false" ht="15" hidden="false" customHeight="false" outlineLevel="0" collapsed="false">
      <c r="A1153" s="2" t="s">
        <v>26</v>
      </c>
      <c r="B1153" s="2" t="n">
        <v>1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1</v>
      </c>
      <c r="H1153" s="2" t="n">
        <v>0</v>
      </c>
      <c r="I1153" s="2" t="n">
        <v>69</v>
      </c>
      <c r="K1153" s="2" t="s">
        <v>21</v>
      </c>
      <c r="L1153" s="2" t="s">
        <v>16</v>
      </c>
      <c r="M1153" s="2" t="s">
        <v>17</v>
      </c>
      <c r="N1153" s="2" t="n">
        <v>1</v>
      </c>
    </row>
    <row r="1154" customFormat="false" ht="15" hidden="false" customHeight="false" outlineLevel="0" collapsed="false">
      <c r="A1154" s="2" t="s">
        <v>26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37.4</v>
      </c>
      <c r="K1154" s="2" t="s">
        <v>18</v>
      </c>
      <c r="L1154" s="2" t="s">
        <v>19</v>
      </c>
      <c r="M1154" s="2" t="s">
        <v>20</v>
      </c>
      <c r="N1154" s="2" t="n">
        <v>0</v>
      </c>
    </row>
    <row r="1155" customFormat="false" ht="15" hidden="false" customHeight="false" outlineLevel="0" collapsed="false">
      <c r="A1155" s="2" t="s">
        <v>26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59</v>
      </c>
      <c r="K1155" s="2" t="s">
        <v>18</v>
      </c>
      <c r="L1155" s="2" t="s">
        <v>19</v>
      </c>
      <c r="M1155" s="2" t="s">
        <v>17</v>
      </c>
      <c r="N1155" s="2" t="n">
        <v>0</v>
      </c>
    </row>
    <row r="1156" customFormat="false" ht="15" hidden="false" customHeight="false" outlineLevel="0" collapsed="false">
      <c r="A1156" s="2" t="s">
        <v>26</v>
      </c>
      <c r="B1156" s="2" t="n">
        <v>1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60.8</v>
      </c>
      <c r="K1156" s="2" t="s">
        <v>21</v>
      </c>
      <c r="L1156" s="2" t="s">
        <v>19</v>
      </c>
      <c r="M1156" s="2" t="s">
        <v>22</v>
      </c>
      <c r="N1156" s="2" t="n">
        <v>0</v>
      </c>
    </row>
    <row r="1157" customFormat="false" ht="15" hidden="false" customHeight="false" outlineLevel="0" collapsed="false">
      <c r="A1157" s="2" t="s">
        <v>26</v>
      </c>
      <c r="B1157" s="2" t="n">
        <v>1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57.5</v>
      </c>
      <c r="K1157" s="2" t="s">
        <v>23</v>
      </c>
      <c r="L1157" s="2" t="s">
        <v>19</v>
      </c>
      <c r="M1157" s="2" t="s">
        <v>20</v>
      </c>
      <c r="N1157" s="2" t="n">
        <v>0</v>
      </c>
    </row>
    <row r="1158" customFormat="false" ht="15" hidden="false" customHeight="false" outlineLevel="0" collapsed="false">
      <c r="A1158" s="2" t="s">
        <v>26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84.2</v>
      </c>
      <c r="K1158" s="2" t="s">
        <v>18</v>
      </c>
      <c r="L1158" s="2" t="s">
        <v>19</v>
      </c>
      <c r="M1158" s="2" t="s">
        <v>20</v>
      </c>
      <c r="N1158" s="2" t="n">
        <v>0</v>
      </c>
    </row>
    <row r="1159" customFormat="false" ht="15" hidden="false" customHeight="false" outlineLevel="0" collapsed="false">
      <c r="A1159" s="2" t="s">
        <v>26</v>
      </c>
      <c r="B1159" s="2" t="n">
        <v>1</v>
      </c>
      <c r="C1159" s="2" t="n">
        <v>1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27.4</v>
      </c>
      <c r="K1159" s="2" t="s">
        <v>23</v>
      </c>
      <c r="L1159" s="2" t="s">
        <v>19</v>
      </c>
      <c r="M1159" s="2" t="s">
        <v>20</v>
      </c>
      <c r="N1159" s="2" t="n">
        <v>0</v>
      </c>
    </row>
    <row r="1160" customFormat="false" ht="15" hidden="false" customHeight="false" outlineLevel="0" collapsed="false">
      <c r="A1160" s="2" t="s">
        <v>26</v>
      </c>
      <c r="B1160" s="2" t="n">
        <v>1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1</v>
      </c>
      <c r="H1160" s="2" t="n">
        <v>0</v>
      </c>
      <c r="I1160" s="2" t="n">
        <v>67.6</v>
      </c>
      <c r="K1160" s="2" t="s">
        <v>18</v>
      </c>
      <c r="L1160" s="2" t="s">
        <v>19</v>
      </c>
      <c r="M1160" s="2" t="s">
        <v>17</v>
      </c>
      <c r="N1160" s="2" t="n">
        <v>1</v>
      </c>
    </row>
    <row r="1161" customFormat="false" ht="15" hidden="false" customHeight="false" outlineLevel="0" collapsed="false">
      <c r="A1161" s="2" t="s">
        <v>26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68.4</v>
      </c>
      <c r="K1161" s="2" t="s">
        <v>18</v>
      </c>
      <c r="L1161" s="2" t="s">
        <v>19</v>
      </c>
      <c r="M1161" s="2" t="s">
        <v>20</v>
      </c>
      <c r="N1161" s="2" t="n">
        <v>0</v>
      </c>
    </row>
    <row r="1162" customFormat="false" ht="15" hidden="false" customHeight="false" outlineLevel="0" collapsed="false">
      <c r="A1162" s="2" t="s">
        <v>26</v>
      </c>
      <c r="B1162" s="2" t="n">
        <v>1</v>
      </c>
      <c r="C1162" s="2" t="n">
        <v>1</v>
      </c>
      <c r="D1162" s="2" t="n">
        <v>1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66.5</v>
      </c>
      <c r="K1162" s="2" t="s">
        <v>23</v>
      </c>
      <c r="L1162" s="2" t="s">
        <v>19</v>
      </c>
      <c r="M1162" s="2" t="s">
        <v>17</v>
      </c>
      <c r="N1162" s="2" t="n">
        <v>0</v>
      </c>
    </row>
    <row r="1163" customFormat="false" ht="15" hidden="false" customHeight="false" outlineLevel="0" collapsed="false">
      <c r="A1163" s="2" t="s">
        <v>26</v>
      </c>
      <c r="B1163" s="2" t="n">
        <v>1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38.2</v>
      </c>
      <c r="K1163" s="2" t="s">
        <v>23</v>
      </c>
      <c r="L1163" s="2" t="s">
        <v>19</v>
      </c>
      <c r="M1163" s="2" t="s">
        <v>20</v>
      </c>
      <c r="N1163" s="2" t="n">
        <v>0</v>
      </c>
    </row>
    <row r="1164" customFormat="false" ht="15" hidden="false" customHeight="false" outlineLevel="0" collapsed="false">
      <c r="A1164" s="2" t="s">
        <v>26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1</v>
      </c>
      <c r="H1164" s="2" t="n">
        <v>0</v>
      </c>
      <c r="I1164" s="2" t="n">
        <v>66.7</v>
      </c>
      <c r="K1164" s="2" t="s">
        <v>18</v>
      </c>
      <c r="L1164" s="2" t="s">
        <v>19</v>
      </c>
      <c r="M1164" s="2" t="s">
        <v>20</v>
      </c>
      <c r="N1164" s="2" t="n">
        <v>1</v>
      </c>
    </row>
    <row r="1165" customFormat="false" ht="15" hidden="false" customHeight="false" outlineLevel="0" collapsed="false">
      <c r="A1165" s="2" t="s">
        <v>26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1</v>
      </c>
      <c r="H1165" s="2" t="n">
        <v>0</v>
      </c>
      <c r="I1165" s="2" t="n">
        <v>73.7</v>
      </c>
      <c r="K1165" s="2" t="s">
        <v>15</v>
      </c>
      <c r="L1165" s="2" t="s">
        <v>19</v>
      </c>
      <c r="M1165" s="2" t="s">
        <v>20</v>
      </c>
      <c r="N1165" s="2" t="n">
        <v>1</v>
      </c>
    </row>
    <row r="1166" customFormat="false" ht="15" hidden="false" customHeight="false" outlineLevel="0" collapsed="false">
      <c r="A1166" s="2" t="s">
        <v>26</v>
      </c>
      <c r="B1166" s="2" t="n">
        <v>1</v>
      </c>
      <c r="C1166" s="2" t="n">
        <v>1</v>
      </c>
      <c r="D1166" s="2" t="n">
        <v>1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63.9</v>
      </c>
      <c r="K1166" s="2" t="s">
        <v>18</v>
      </c>
      <c r="L1166" s="2" t="s">
        <v>16</v>
      </c>
      <c r="M1166" s="2" t="s">
        <v>17</v>
      </c>
      <c r="N1166" s="2" t="n">
        <v>0</v>
      </c>
    </row>
    <row r="1167" customFormat="false" ht="15" hidden="false" customHeight="false" outlineLevel="0" collapsed="false">
      <c r="A1167" s="2" t="s">
        <v>26</v>
      </c>
      <c r="B1167" s="2" t="n">
        <v>1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1</v>
      </c>
      <c r="H1167" s="2" t="n">
        <v>0</v>
      </c>
      <c r="I1167" s="2" t="n">
        <v>82.6</v>
      </c>
      <c r="K1167" s="2" t="s">
        <v>23</v>
      </c>
      <c r="L1167" s="2" t="s">
        <v>24</v>
      </c>
      <c r="M1167" s="2" t="s">
        <v>17</v>
      </c>
      <c r="N1167" s="2" t="n">
        <v>1</v>
      </c>
    </row>
    <row r="1168" customFormat="false" ht="15" hidden="false" customHeight="false" outlineLevel="0" collapsed="false">
      <c r="A1168" s="2" t="s">
        <v>26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1</v>
      </c>
      <c r="H1168" s="2" t="n">
        <v>0</v>
      </c>
      <c r="I1168" s="2" t="n">
        <v>58.3</v>
      </c>
      <c r="K1168" s="2" t="s">
        <v>21</v>
      </c>
      <c r="L1168" s="2" t="s">
        <v>19</v>
      </c>
      <c r="M1168" s="2" t="s">
        <v>20</v>
      </c>
      <c r="N1168" s="2" t="n">
        <v>1</v>
      </c>
    </row>
    <row r="1169" customFormat="false" ht="15" hidden="false" customHeight="false" outlineLevel="0" collapsed="false">
      <c r="A1169" s="2" t="s">
        <v>26</v>
      </c>
      <c r="B1169" s="2" t="n">
        <v>1</v>
      </c>
      <c r="C1169" s="2" t="n">
        <v>1</v>
      </c>
      <c r="D1169" s="2" t="n">
        <v>1</v>
      </c>
      <c r="E1169" s="2" t="n">
        <v>1</v>
      </c>
      <c r="F1169" s="2" t="n">
        <v>1547.06</v>
      </c>
      <c r="G1169" s="2" t="n">
        <v>0</v>
      </c>
      <c r="H1169" s="2" t="n">
        <v>1</v>
      </c>
      <c r="I1169" s="2" t="n">
        <v>72.9</v>
      </c>
      <c r="J1169" s="2" t="n">
        <v>2</v>
      </c>
      <c r="K1169" s="2" t="s">
        <v>18</v>
      </c>
      <c r="L1169" s="2" t="s">
        <v>19</v>
      </c>
      <c r="M1169" s="2" t="s">
        <v>22</v>
      </c>
      <c r="N1169" s="2" t="n">
        <v>0</v>
      </c>
    </row>
    <row r="1170" customFormat="false" ht="15" hidden="false" customHeight="false" outlineLevel="0" collapsed="false">
      <c r="A1170" s="2" t="s">
        <v>26</v>
      </c>
      <c r="B1170" s="2" t="n">
        <v>1</v>
      </c>
      <c r="C1170" s="2" t="n">
        <v>1</v>
      </c>
      <c r="D1170" s="2" t="n">
        <v>1</v>
      </c>
      <c r="E1170" s="2" t="n">
        <v>0</v>
      </c>
      <c r="F1170" s="2" t="n">
        <v>0</v>
      </c>
      <c r="G1170" s="2" t="n">
        <v>1</v>
      </c>
      <c r="H1170" s="2" t="n">
        <v>0</v>
      </c>
      <c r="I1170" s="2" t="n">
        <v>53.5</v>
      </c>
      <c r="K1170" s="2" t="s">
        <v>23</v>
      </c>
      <c r="L1170" s="2" t="s">
        <v>19</v>
      </c>
      <c r="M1170" s="2" t="s">
        <v>20</v>
      </c>
      <c r="N1170" s="2" t="n">
        <v>2</v>
      </c>
    </row>
    <row r="1171" customFormat="false" ht="15" hidden="false" customHeight="false" outlineLevel="0" collapsed="false">
      <c r="A1171" s="2" t="s">
        <v>26</v>
      </c>
      <c r="B1171" s="2" t="n">
        <v>1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54.8</v>
      </c>
      <c r="K1171" s="2" t="s">
        <v>18</v>
      </c>
      <c r="L1171" s="2" t="s">
        <v>19</v>
      </c>
      <c r="M1171" s="2" t="s">
        <v>20</v>
      </c>
      <c r="N1171" s="2" t="n">
        <v>0</v>
      </c>
    </row>
    <row r="1172" customFormat="false" ht="15" hidden="false" customHeight="false" outlineLevel="0" collapsed="false">
      <c r="A1172" s="2" t="s">
        <v>26</v>
      </c>
      <c r="B1172" s="2" t="n">
        <v>1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69.5</v>
      </c>
      <c r="K1172" s="2" t="s">
        <v>15</v>
      </c>
      <c r="L1172" s="2" t="s">
        <v>19</v>
      </c>
      <c r="M1172" s="2" t="s">
        <v>22</v>
      </c>
      <c r="N1172" s="2" t="n">
        <v>0</v>
      </c>
    </row>
    <row r="1173" customFormat="false" ht="15" hidden="false" customHeight="false" outlineLevel="0" collapsed="false">
      <c r="A1173" s="2" t="s">
        <v>26</v>
      </c>
      <c r="B1173" s="2" t="n">
        <v>1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1</v>
      </c>
      <c r="H1173" s="2" t="n">
        <v>0</v>
      </c>
      <c r="I1173" s="2" t="n">
        <v>71.3</v>
      </c>
      <c r="K1173" s="2" t="s">
        <v>15</v>
      </c>
      <c r="L1173" s="2" t="s">
        <v>16</v>
      </c>
      <c r="M1173" s="2" t="s">
        <v>20</v>
      </c>
      <c r="N1173" s="2" t="n">
        <v>1</v>
      </c>
    </row>
    <row r="1174" customFormat="false" ht="15" hidden="false" customHeight="false" outlineLevel="0" collapsed="false">
      <c r="A1174" s="2" t="s">
        <v>26</v>
      </c>
      <c r="B1174" s="2" t="n">
        <v>1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1</v>
      </c>
      <c r="H1174" s="2" t="n">
        <v>0</v>
      </c>
      <c r="I1174" s="2" t="n">
        <v>57.5</v>
      </c>
      <c r="K1174" s="2" t="s">
        <v>18</v>
      </c>
      <c r="L1174" s="2" t="s">
        <v>19</v>
      </c>
      <c r="M1174" s="2" t="s">
        <v>17</v>
      </c>
      <c r="N1174" s="2" t="n">
        <v>1</v>
      </c>
    </row>
    <row r="1175" customFormat="false" ht="15" hidden="false" customHeight="false" outlineLevel="0" collapsed="false">
      <c r="A1175" s="2" t="s">
        <v>26</v>
      </c>
      <c r="B1175" s="2" t="n">
        <v>1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1</v>
      </c>
      <c r="H1175" s="2" t="n">
        <v>0</v>
      </c>
      <c r="I1175" s="2" t="n">
        <v>50.9</v>
      </c>
      <c r="K1175" s="2" t="s">
        <v>23</v>
      </c>
      <c r="L1175" s="2" t="s">
        <v>19</v>
      </c>
      <c r="M1175" s="2" t="s">
        <v>20</v>
      </c>
      <c r="N1175" s="2" t="n">
        <v>4</v>
      </c>
    </row>
    <row r="1176" customFormat="false" ht="15" hidden="false" customHeight="false" outlineLevel="0" collapsed="false">
      <c r="A1176" s="2" t="s">
        <v>26</v>
      </c>
      <c r="B1176" s="2" t="n">
        <v>1</v>
      </c>
      <c r="C1176" s="2" t="n">
        <v>1</v>
      </c>
      <c r="D1176" s="2" t="n">
        <v>1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69.3</v>
      </c>
      <c r="K1176" s="2" t="s">
        <v>23</v>
      </c>
      <c r="L1176" s="2" t="s">
        <v>24</v>
      </c>
      <c r="M1176" s="2" t="s">
        <v>20</v>
      </c>
      <c r="N1176" s="2" t="n">
        <v>0</v>
      </c>
    </row>
    <row r="1177" customFormat="false" ht="15" hidden="false" customHeight="false" outlineLevel="0" collapsed="false">
      <c r="A1177" s="2" t="s">
        <v>26</v>
      </c>
      <c r="B1177" s="2" t="n">
        <v>1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50.1</v>
      </c>
      <c r="K1177" s="2" t="s">
        <v>18</v>
      </c>
      <c r="L1177" s="2" t="s">
        <v>16</v>
      </c>
      <c r="M1177" s="2" t="s">
        <v>20</v>
      </c>
      <c r="N1177" s="2" t="n">
        <v>0</v>
      </c>
    </row>
    <row r="1178" customFormat="false" ht="15" hidden="false" customHeight="false" outlineLevel="0" collapsed="false">
      <c r="A1178" s="2" t="s">
        <v>26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69.7</v>
      </c>
      <c r="K1178" s="2" t="s">
        <v>21</v>
      </c>
      <c r="L1178" s="2" t="s">
        <v>25</v>
      </c>
      <c r="M1178" s="2" t="s">
        <v>17</v>
      </c>
      <c r="N1178" s="2" t="n">
        <v>0</v>
      </c>
    </row>
    <row r="1179" customFormat="false" ht="15" hidden="false" customHeight="false" outlineLevel="0" collapsed="false">
      <c r="A1179" s="2" t="s">
        <v>26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63.5</v>
      </c>
      <c r="K1179" s="2" t="s">
        <v>15</v>
      </c>
      <c r="L1179" s="2" t="s">
        <v>19</v>
      </c>
      <c r="M1179" s="2" t="s">
        <v>20</v>
      </c>
      <c r="N1179" s="2" t="n">
        <v>0</v>
      </c>
    </row>
    <row r="1180" customFormat="false" ht="15" hidden="false" customHeight="false" outlineLevel="0" collapsed="false">
      <c r="A1180" s="2" t="s">
        <v>26</v>
      </c>
      <c r="B1180" s="2" t="n">
        <v>1</v>
      </c>
      <c r="C1180" s="2" t="n">
        <v>1</v>
      </c>
      <c r="D1180" s="2" t="n">
        <v>1</v>
      </c>
      <c r="E1180" s="2" t="n">
        <v>1</v>
      </c>
      <c r="F1180" s="2" t="n">
        <v>265.59</v>
      </c>
      <c r="G1180" s="2" t="n">
        <v>1</v>
      </c>
      <c r="H1180" s="2" t="n">
        <v>0</v>
      </c>
      <c r="I1180" s="2" t="n">
        <v>80.4</v>
      </c>
      <c r="J1180" s="2" t="n">
        <v>8</v>
      </c>
      <c r="K1180" s="2" t="s">
        <v>18</v>
      </c>
      <c r="L1180" s="2" t="s">
        <v>16</v>
      </c>
      <c r="M1180" s="2" t="s">
        <v>20</v>
      </c>
      <c r="N1180" s="2" t="n">
        <v>1</v>
      </c>
    </row>
    <row r="1181" customFormat="false" ht="15" hidden="false" customHeight="false" outlineLevel="0" collapsed="false">
      <c r="A1181" s="2" t="s">
        <v>26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58.9</v>
      </c>
      <c r="K1181" s="2" t="s">
        <v>15</v>
      </c>
      <c r="L1181" s="2" t="s">
        <v>16</v>
      </c>
      <c r="M1181" s="2" t="s">
        <v>20</v>
      </c>
      <c r="N1181" s="2" t="n">
        <v>0</v>
      </c>
    </row>
    <row r="1182" customFormat="false" ht="15" hidden="false" customHeight="false" outlineLevel="0" collapsed="false">
      <c r="A1182" s="2" t="s">
        <v>26</v>
      </c>
      <c r="B1182" s="2" t="n">
        <v>1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56.8</v>
      </c>
      <c r="K1182" s="2" t="s">
        <v>23</v>
      </c>
      <c r="L1182" s="2" t="s">
        <v>16</v>
      </c>
      <c r="M1182" s="2" t="s">
        <v>20</v>
      </c>
      <c r="N1182" s="2" t="n">
        <v>0</v>
      </c>
    </row>
    <row r="1183" customFormat="false" ht="15" hidden="false" customHeight="false" outlineLevel="0" collapsed="false">
      <c r="A1183" s="2" t="s">
        <v>26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73.9</v>
      </c>
      <c r="K1183" s="2" t="s">
        <v>21</v>
      </c>
      <c r="L1183" s="2" t="s">
        <v>24</v>
      </c>
      <c r="M1183" s="2" t="s">
        <v>22</v>
      </c>
      <c r="N1183" s="2" t="n">
        <v>0</v>
      </c>
    </row>
    <row r="1184" customFormat="false" ht="15" hidden="false" customHeight="false" outlineLevel="0" collapsed="false">
      <c r="A1184" s="2" t="s">
        <v>26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76.3</v>
      </c>
      <c r="K1184" s="2" t="s">
        <v>15</v>
      </c>
      <c r="L1184" s="2" t="s">
        <v>16</v>
      </c>
      <c r="M1184" s="2" t="s">
        <v>20</v>
      </c>
      <c r="N1184" s="2" t="n">
        <v>0</v>
      </c>
    </row>
    <row r="1185" customFormat="false" ht="15" hidden="false" customHeight="false" outlineLevel="0" collapsed="false">
      <c r="A1185" s="2" t="s">
        <v>26</v>
      </c>
      <c r="B1185" s="2" t="n">
        <v>1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56.9</v>
      </c>
      <c r="K1185" s="2" t="s">
        <v>18</v>
      </c>
      <c r="L1185" s="2" t="s">
        <v>19</v>
      </c>
      <c r="M1185" s="2" t="s">
        <v>17</v>
      </c>
      <c r="N1185" s="2" t="n">
        <v>0</v>
      </c>
    </row>
    <row r="1186" customFormat="false" ht="15" hidden="false" customHeight="false" outlineLevel="0" collapsed="false">
      <c r="A1186" s="2" t="s">
        <v>26</v>
      </c>
      <c r="B1186" s="2" t="n">
        <v>1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1</v>
      </c>
      <c r="H1186" s="2" t="n">
        <v>0</v>
      </c>
      <c r="I1186" s="2" t="n">
        <v>49.4</v>
      </c>
      <c r="K1186" s="2" t="s">
        <v>15</v>
      </c>
      <c r="L1186" s="2" t="s">
        <v>19</v>
      </c>
      <c r="M1186" s="2" t="s">
        <v>22</v>
      </c>
      <c r="N1186" s="2" t="n">
        <v>2</v>
      </c>
    </row>
    <row r="1187" customFormat="false" ht="15" hidden="false" customHeight="false" outlineLevel="0" collapsed="false">
      <c r="A1187" s="2" t="s">
        <v>26</v>
      </c>
      <c r="B1187" s="2" t="n">
        <v>1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86.7</v>
      </c>
      <c r="K1187" s="2" t="s">
        <v>15</v>
      </c>
      <c r="L1187" s="2" t="s">
        <v>16</v>
      </c>
      <c r="M1187" s="2" t="s">
        <v>17</v>
      </c>
      <c r="N1187" s="2" t="n">
        <v>0</v>
      </c>
    </row>
    <row r="1188" customFormat="false" ht="15" hidden="false" customHeight="false" outlineLevel="0" collapsed="false">
      <c r="A1188" s="2" t="s">
        <v>26</v>
      </c>
      <c r="B1188" s="2" t="n">
        <v>1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1</v>
      </c>
      <c r="H1188" s="2" t="n">
        <v>0</v>
      </c>
      <c r="I1188" s="2" t="n">
        <v>69</v>
      </c>
      <c r="K1188" s="2" t="s">
        <v>18</v>
      </c>
      <c r="L1188" s="2" t="s">
        <v>16</v>
      </c>
      <c r="M1188" s="2" t="s">
        <v>20</v>
      </c>
      <c r="N1188" s="2" t="n">
        <v>3</v>
      </c>
    </row>
    <row r="1189" customFormat="false" ht="15" hidden="false" customHeight="false" outlineLevel="0" collapsed="false">
      <c r="A1189" s="2" t="s">
        <v>26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84.5</v>
      </c>
      <c r="K1189" s="2" t="s">
        <v>15</v>
      </c>
      <c r="L1189" s="2" t="s">
        <v>19</v>
      </c>
      <c r="M1189" s="2" t="s">
        <v>20</v>
      </c>
      <c r="N1189" s="2" t="n">
        <v>0</v>
      </c>
    </row>
    <row r="1190" customFormat="false" ht="15" hidden="false" customHeight="false" outlineLevel="0" collapsed="false">
      <c r="A1190" s="2" t="s">
        <v>26</v>
      </c>
      <c r="B1190" s="2" t="n">
        <v>1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66.3</v>
      </c>
      <c r="K1190" s="2" t="s">
        <v>21</v>
      </c>
      <c r="L1190" s="2" t="s">
        <v>25</v>
      </c>
      <c r="M1190" s="2" t="s">
        <v>20</v>
      </c>
      <c r="N1190" s="2" t="n">
        <v>0</v>
      </c>
    </row>
    <row r="1191" customFormat="false" ht="15" hidden="false" customHeight="false" outlineLevel="0" collapsed="false">
      <c r="A1191" s="2" t="s">
        <v>26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52.2</v>
      </c>
      <c r="K1191" s="2" t="s">
        <v>21</v>
      </c>
      <c r="L1191" s="2" t="s">
        <v>16</v>
      </c>
      <c r="M1191" s="2" t="s">
        <v>20</v>
      </c>
      <c r="N1191" s="2" t="n">
        <v>0</v>
      </c>
    </row>
    <row r="1192" customFormat="false" ht="15" hidden="false" customHeight="false" outlineLevel="0" collapsed="false">
      <c r="A1192" s="2" t="s">
        <v>26</v>
      </c>
      <c r="B1192" s="2" t="n">
        <v>1</v>
      </c>
      <c r="C1192" s="2" t="n">
        <v>1</v>
      </c>
      <c r="D1192" s="2" t="n">
        <v>1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81.2</v>
      </c>
      <c r="K1192" s="2" t="s">
        <v>23</v>
      </c>
      <c r="L1192" s="2" t="s">
        <v>16</v>
      </c>
      <c r="M1192" s="2" t="s">
        <v>22</v>
      </c>
      <c r="N1192" s="2" t="n">
        <v>0</v>
      </c>
    </row>
    <row r="1193" customFormat="false" ht="15" hidden="false" customHeight="false" outlineLevel="0" collapsed="false">
      <c r="A1193" s="2" t="s">
        <v>26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53.9</v>
      </c>
      <c r="K1193" s="2" t="s">
        <v>23</v>
      </c>
      <c r="L1193" s="2" t="s">
        <v>19</v>
      </c>
      <c r="M1193" s="2" t="s">
        <v>17</v>
      </c>
      <c r="N1193" s="2" t="n">
        <v>0</v>
      </c>
    </row>
    <row r="1194" customFormat="false" ht="15" hidden="false" customHeight="false" outlineLevel="0" collapsed="false">
      <c r="A1194" s="2" t="s">
        <v>26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39.1</v>
      </c>
      <c r="K1194" s="2" t="s">
        <v>18</v>
      </c>
      <c r="L1194" s="2" t="s">
        <v>19</v>
      </c>
      <c r="M1194" s="2" t="s">
        <v>22</v>
      </c>
      <c r="N1194" s="2" t="n">
        <v>0</v>
      </c>
    </row>
    <row r="1195" customFormat="false" ht="15" hidden="false" customHeight="false" outlineLevel="0" collapsed="false">
      <c r="A1195" s="2" t="s">
        <v>26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57.3</v>
      </c>
      <c r="K1195" s="2" t="s">
        <v>15</v>
      </c>
      <c r="L1195" s="2" t="s">
        <v>19</v>
      </c>
      <c r="M1195" s="2" t="s">
        <v>17</v>
      </c>
      <c r="N1195" s="2" t="n">
        <v>0</v>
      </c>
    </row>
    <row r="1196" customFormat="false" ht="15" hidden="false" customHeight="false" outlineLevel="0" collapsed="false">
      <c r="A1196" s="2" t="s">
        <v>26</v>
      </c>
      <c r="B1196" s="2" t="n">
        <v>1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1</v>
      </c>
      <c r="H1196" s="2" t="n">
        <v>0</v>
      </c>
      <c r="I1196" s="2" t="n">
        <v>65.9</v>
      </c>
      <c r="K1196" s="2" t="s">
        <v>21</v>
      </c>
      <c r="L1196" s="2" t="s">
        <v>16</v>
      </c>
      <c r="M1196" s="2" t="s">
        <v>22</v>
      </c>
      <c r="N1196" s="2" t="n">
        <v>1</v>
      </c>
    </row>
    <row r="1197" customFormat="false" ht="15" hidden="false" customHeight="false" outlineLevel="0" collapsed="false">
      <c r="A1197" s="2" t="s">
        <v>26</v>
      </c>
      <c r="B1197" s="2" t="n">
        <v>1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1</v>
      </c>
      <c r="H1197" s="2" t="n">
        <v>0</v>
      </c>
      <c r="I1197" s="2" t="n">
        <v>34.2</v>
      </c>
      <c r="K1197" s="2" t="s">
        <v>15</v>
      </c>
      <c r="L1197" s="2" t="s">
        <v>25</v>
      </c>
      <c r="M1197" s="2" t="s">
        <v>20</v>
      </c>
      <c r="N1197" s="2" t="n">
        <v>1</v>
      </c>
    </row>
    <row r="1198" customFormat="false" ht="15" hidden="false" customHeight="false" outlineLevel="0" collapsed="false">
      <c r="A1198" s="2" t="s">
        <v>26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47.2</v>
      </c>
      <c r="K1198" s="2" t="s">
        <v>23</v>
      </c>
      <c r="L1198" s="2" t="s">
        <v>19</v>
      </c>
      <c r="M1198" s="2" t="s">
        <v>20</v>
      </c>
      <c r="N1198" s="2" t="n">
        <v>0</v>
      </c>
    </row>
    <row r="1199" customFormat="false" ht="15" hidden="false" customHeight="false" outlineLevel="0" collapsed="false">
      <c r="A1199" s="2" t="s">
        <v>26</v>
      </c>
      <c r="B1199" s="2" t="n">
        <v>1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1</v>
      </c>
      <c r="H1199" s="2" t="n">
        <v>0</v>
      </c>
      <c r="I1199" s="2" t="n">
        <v>55</v>
      </c>
      <c r="K1199" s="2" t="s">
        <v>23</v>
      </c>
      <c r="L1199" s="2" t="s">
        <v>24</v>
      </c>
      <c r="M1199" s="2" t="s">
        <v>20</v>
      </c>
      <c r="N1199" s="2" t="n">
        <v>1</v>
      </c>
    </row>
    <row r="1200" customFormat="false" ht="15" hidden="false" customHeight="false" outlineLevel="0" collapsed="false">
      <c r="A1200" s="2" t="s">
        <v>26</v>
      </c>
      <c r="B1200" s="2" t="n">
        <v>1</v>
      </c>
      <c r="C1200" s="2" t="n">
        <v>1</v>
      </c>
      <c r="D1200" s="2" t="n">
        <v>1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76.4</v>
      </c>
      <c r="K1200" s="2" t="s">
        <v>18</v>
      </c>
      <c r="L1200" s="2" t="s">
        <v>19</v>
      </c>
      <c r="M1200" s="2" t="s">
        <v>17</v>
      </c>
      <c r="N1200" s="2" t="n">
        <v>0</v>
      </c>
    </row>
    <row r="1201" customFormat="false" ht="15" hidden="false" customHeight="false" outlineLevel="0" collapsed="false">
      <c r="A1201" s="2" t="s">
        <v>26</v>
      </c>
      <c r="B1201" s="2" t="n">
        <v>1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70.8</v>
      </c>
      <c r="K1201" s="2" t="s">
        <v>15</v>
      </c>
      <c r="L1201" s="2" t="s">
        <v>19</v>
      </c>
      <c r="M1201" s="2" t="s">
        <v>20</v>
      </c>
      <c r="N1201" s="2" t="n">
        <v>0</v>
      </c>
    </row>
    <row r="1202" customFormat="false" ht="15" hidden="false" customHeight="false" outlineLevel="0" collapsed="false">
      <c r="A1202" s="2" t="s">
        <v>26</v>
      </c>
      <c r="B1202" s="2" t="n">
        <v>1</v>
      </c>
      <c r="C1202" s="2" t="n">
        <v>1</v>
      </c>
      <c r="D1202" s="2" t="n">
        <v>0</v>
      </c>
      <c r="E1202" s="2" t="n">
        <v>0</v>
      </c>
      <c r="F1202" s="2" t="n">
        <v>0</v>
      </c>
      <c r="G1202" s="2" t="n">
        <v>1</v>
      </c>
      <c r="H1202" s="2" t="n">
        <v>0</v>
      </c>
      <c r="I1202" s="2" t="n">
        <v>58</v>
      </c>
      <c r="K1202" s="2" t="s">
        <v>21</v>
      </c>
      <c r="L1202" s="2" t="s">
        <v>19</v>
      </c>
      <c r="M1202" s="2" t="s">
        <v>17</v>
      </c>
      <c r="N1202" s="2" t="n">
        <v>1</v>
      </c>
    </row>
    <row r="1203" customFormat="false" ht="15" hidden="false" customHeight="false" outlineLevel="0" collapsed="false">
      <c r="A1203" s="2" t="s">
        <v>26</v>
      </c>
      <c r="B1203" s="2" t="n">
        <v>1</v>
      </c>
      <c r="C1203" s="2" t="n">
        <v>1</v>
      </c>
      <c r="D1203" s="2" t="n">
        <v>1</v>
      </c>
      <c r="E1203" s="2" t="n">
        <v>0</v>
      </c>
      <c r="F1203" s="2" t="n">
        <v>0</v>
      </c>
      <c r="G1203" s="2" t="n">
        <v>1</v>
      </c>
      <c r="H1203" s="2" t="n">
        <v>0</v>
      </c>
      <c r="I1203" s="2" t="n">
        <v>70.8</v>
      </c>
      <c r="K1203" s="2" t="s">
        <v>18</v>
      </c>
      <c r="L1203" s="2" t="s">
        <v>19</v>
      </c>
      <c r="M1203" s="2" t="s">
        <v>17</v>
      </c>
      <c r="N1203" s="2" t="n">
        <v>1</v>
      </c>
    </row>
    <row r="1204" customFormat="false" ht="15" hidden="false" customHeight="false" outlineLevel="0" collapsed="false">
      <c r="A1204" s="2" t="s">
        <v>26</v>
      </c>
      <c r="B1204" s="2" t="n">
        <v>1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1</v>
      </c>
      <c r="H1204" s="2" t="n">
        <v>0</v>
      </c>
      <c r="I1204" s="2" t="n">
        <v>60</v>
      </c>
      <c r="K1204" s="2" t="s">
        <v>21</v>
      </c>
      <c r="L1204" s="2" t="s">
        <v>16</v>
      </c>
      <c r="M1204" s="2" t="s">
        <v>20</v>
      </c>
      <c r="N1204" s="2" t="n">
        <v>3</v>
      </c>
    </row>
    <row r="1205" customFormat="false" ht="15" hidden="false" customHeight="false" outlineLevel="0" collapsed="false">
      <c r="A1205" s="2" t="s">
        <v>26</v>
      </c>
      <c r="B1205" s="2" t="n">
        <v>1</v>
      </c>
      <c r="C1205" s="2" t="n">
        <v>1</v>
      </c>
      <c r="D1205" s="2" t="n">
        <v>1</v>
      </c>
      <c r="E1205" s="2" t="n">
        <v>0</v>
      </c>
      <c r="F1205" s="2" t="n">
        <v>0</v>
      </c>
      <c r="G1205" s="2" t="n">
        <v>1</v>
      </c>
      <c r="H1205" s="2" t="n">
        <v>0</v>
      </c>
      <c r="I1205" s="2" t="n">
        <v>58.1</v>
      </c>
      <c r="K1205" s="2" t="s">
        <v>18</v>
      </c>
      <c r="L1205" s="2" t="s">
        <v>19</v>
      </c>
      <c r="M1205" s="2" t="s">
        <v>22</v>
      </c>
      <c r="N1205" s="2" t="n">
        <v>3</v>
      </c>
    </row>
    <row r="1206" customFormat="false" ht="15" hidden="false" customHeight="false" outlineLevel="0" collapsed="false">
      <c r="A1206" s="2" t="s">
        <v>26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59.7</v>
      </c>
      <c r="K1206" s="2" t="s">
        <v>15</v>
      </c>
      <c r="L1206" s="2" t="s">
        <v>19</v>
      </c>
      <c r="M1206" s="2" t="s">
        <v>22</v>
      </c>
      <c r="N1206" s="2" t="n">
        <v>0</v>
      </c>
    </row>
    <row r="1207" customFormat="false" ht="15" hidden="false" customHeight="false" outlineLevel="0" collapsed="false">
      <c r="A1207" s="2" t="s">
        <v>26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47.7</v>
      </c>
      <c r="K1207" s="2" t="s">
        <v>21</v>
      </c>
      <c r="L1207" s="2" t="s">
        <v>19</v>
      </c>
      <c r="M1207" s="2" t="s">
        <v>20</v>
      </c>
      <c r="N1207" s="2" t="n">
        <v>0</v>
      </c>
    </row>
    <row r="1208" customFormat="false" ht="15" hidden="false" customHeight="false" outlineLevel="0" collapsed="false">
      <c r="A1208" s="2" t="s">
        <v>26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59.1</v>
      </c>
      <c r="K1208" s="2" t="s">
        <v>15</v>
      </c>
      <c r="L1208" s="2" t="s">
        <v>19</v>
      </c>
      <c r="M1208" s="2" t="s">
        <v>20</v>
      </c>
      <c r="N1208" s="2" t="n">
        <v>0</v>
      </c>
    </row>
    <row r="1209" customFormat="false" ht="15" hidden="false" customHeight="false" outlineLevel="0" collapsed="false">
      <c r="A1209" s="2" t="s">
        <v>26</v>
      </c>
      <c r="B1209" s="2" t="n">
        <v>1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1</v>
      </c>
      <c r="H1209" s="2" t="n">
        <v>0</v>
      </c>
      <c r="I1209" s="2" t="n">
        <v>68.7</v>
      </c>
      <c r="K1209" s="2" t="s">
        <v>18</v>
      </c>
      <c r="L1209" s="2" t="s">
        <v>16</v>
      </c>
      <c r="M1209" s="2" t="s">
        <v>17</v>
      </c>
      <c r="N1209" s="2" t="n">
        <v>1</v>
      </c>
    </row>
    <row r="1210" customFormat="false" ht="15" hidden="false" customHeight="false" outlineLevel="0" collapsed="false">
      <c r="A1210" s="2" t="s">
        <v>26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34.7</v>
      </c>
      <c r="K1210" s="2" t="s">
        <v>21</v>
      </c>
      <c r="L1210" s="2" t="s">
        <v>24</v>
      </c>
      <c r="M1210" s="2" t="s">
        <v>17</v>
      </c>
      <c r="N1210" s="2" t="n">
        <v>0</v>
      </c>
    </row>
    <row r="1211" customFormat="false" ht="15" hidden="false" customHeight="false" outlineLevel="0" collapsed="false">
      <c r="A1211" s="2" t="s">
        <v>26</v>
      </c>
      <c r="B1211" s="2" t="n">
        <v>1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62</v>
      </c>
      <c r="K1211" s="2" t="s">
        <v>18</v>
      </c>
      <c r="L1211" s="2" t="s">
        <v>19</v>
      </c>
      <c r="M1211" s="2" t="s">
        <v>17</v>
      </c>
      <c r="N1211" s="2" t="n">
        <v>0</v>
      </c>
    </row>
    <row r="1212" customFormat="false" ht="15" hidden="false" customHeight="false" outlineLevel="0" collapsed="false">
      <c r="A1212" s="2" t="s">
        <v>26</v>
      </c>
      <c r="B1212" s="2" t="n">
        <v>1</v>
      </c>
      <c r="C1212" s="2" t="n">
        <v>1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56</v>
      </c>
      <c r="K1212" s="2" t="s">
        <v>23</v>
      </c>
      <c r="L1212" s="2" t="s">
        <v>19</v>
      </c>
      <c r="M1212" s="2" t="s">
        <v>20</v>
      </c>
      <c r="N1212" s="2" t="n">
        <v>0</v>
      </c>
    </row>
    <row r="1213" customFormat="false" ht="15" hidden="false" customHeight="false" outlineLevel="0" collapsed="false">
      <c r="A1213" s="2" t="s">
        <v>26</v>
      </c>
      <c r="B1213" s="2" t="n">
        <v>1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1</v>
      </c>
      <c r="H1213" s="2" t="n">
        <v>0</v>
      </c>
      <c r="I1213" s="2" t="n">
        <v>65.8</v>
      </c>
      <c r="K1213" s="2" t="s">
        <v>15</v>
      </c>
      <c r="L1213" s="2" t="s">
        <v>19</v>
      </c>
      <c r="M1213" s="2" t="s">
        <v>17</v>
      </c>
      <c r="N1213" s="2" t="n">
        <v>1</v>
      </c>
    </row>
    <row r="1214" customFormat="false" ht="15" hidden="false" customHeight="false" outlineLevel="0" collapsed="false">
      <c r="A1214" s="2" t="s">
        <v>26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54.7</v>
      </c>
      <c r="K1214" s="2" t="s">
        <v>15</v>
      </c>
      <c r="L1214" s="2" t="s">
        <v>16</v>
      </c>
      <c r="M1214" s="2" t="s">
        <v>22</v>
      </c>
      <c r="N1214" s="2" t="n">
        <v>0</v>
      </c>
    </row>
    <row r="1215" customFormat="false" ht="15" hidden="false" customHeight="false" outlineLevel="0" collapsed="false">
      <c r="A1215" s="2" t="s">
        <v>26</v>
      </c>
      <c r="B1215" s="2" t="n">
        <v>1</v>
      </c>
      <c r="C1215" s="2" t="n">
        <v>1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64.1</v>
      </c>
      <c r="K1215" s="2" t="s">
        <v>23</v>
      </c>
      <c r="L1215" s="2" t="s">
        <v>19</v>
      </c>
      <c r="M1215" s="2" t="s">
        <v>17</v>
      </c>
      <c r="N1215" s="2" t="n">
        <v>0</v>
      </c>
    </row>
    <row r="1216" customFormat="false" ht="15" hidden="false" customHeight="false" outlineLevel="0" collapsed="false">
      <c r="A1216" s="2" t="s">
        <v>26</v>
      </c>
      <c r="B1216" s="2" t="n">
        <v>1</v>
      </c>
      <c r="C1216" s="2" t="n">
        <v>1</v>
      </c>
      <c r="D1216" s="2" t="n">
        <v>1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71.6</v>
      </c>
      <c r="K1216" s="2" t="s">
        <v>23</v>
      </c>
      <c r="L1216" s="2" t="s">
        <v>19</v>
      </c>
      <c r="M1216" s="2" t="s">
        <v>17</v>
      </c>
      <c r="N1216" s="2" t="n">
        <v>0</v>
      </c>
    </row>
    <row r="1217" customFormat="false" ht="15" hidden="false" customHeight="false" outlineLevel="0" collapsed="false">
      <c r="A1217" s="2" t="s">
        <v>26</v>
      </c>
      <c r="B1217" s="2" t="n">
        <v>1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78.4</v>
      </c>
      <c r="K1217" s="2" t="s">
        <v>15</v>
      </c>
      <c r="L1217" s="2" t="s">
        <v>19</v>
      </c>
      <c r="M1217" s="2" t="s">
        <v>17</v>
      </c>
      <c r="N1217" s="2" t="n">
        <v>0</v>
      </c>
    </row>
    <row r="1218" customFormat="false" ht="15" hidden="false" customHeight="false" outlineLevel="0" collapsed="false">
      <c r="A1218" s="2" t="s">
        <v>26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49.3</v>
      </c>
      <c r="K1218" s="2" t="s">
        <v>21</v>
      </c>
      <c r="L1218" s="2" t="s">
        <v>24</v>
      </c>
      <c r="M1218" s="2" t="s">
        <v>17</v>
      </c>
      <c r="N1218" s="2" t="n">
        <v>0</v>
      </c>
    </row>
    <row r="1219" customFormat="false" ht="15" hidden="false" customHeight="false" outlineLevel="0" collapsed="false">
      <c r="A1219" s="2" t="s">
        <v>26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52.8</v>
      </c>
      <c r="K1219" s="2" t="s">
        <v>15</v>
      </c>
      <c r="L1219" s="2" t="s">
        <v>19</v>
      </c>
      <c r="M1219" s="2" t="s">
        <v>17</v>
      </c>
      <c r="N1219" s="2" t="n">
        <v>0</v>
      </c>
    </row>
    <row r="1220" customFormat="false" ht="15" hidden="false" customHeight="false" outlineLevel="0" collapsed="false">
      <c r="A1220" s="2" t="s">
        <v>26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58.5</v>
      </c>
      <c r="K1220" s="2" t="s">
        <v>18</v>
      </c>
      <c r="L1220" s="2" t="s">
        <v>16</v>
      </c>
      <c r="M1220" s="2" t="s">
        <v>20</v>
      </c>
      <c r="N1220" s="2" t="n">
        <v>0</v>
      </c>
    </row>
    <row r="1221" customFormat="false" ht="15" hidden="false" customHeight="false" outlineLevel="0" collapsed="false">
      <c r="A1221" s="2" t="s">
        <v>26</v>
      </c>
      <c r="B1221" s="2" t="n">
        <v>1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55.9</v>
      </c>
      <c r="K1221" s="2" t="s">
        <v>23</v>
      </c>
      <c r="L1221" s="2" t="s">
        <v>19</v>
      </c>
      <c r="M1221" s="2" t="s">
        <v>20</v>
      </c>
      <c r="N1221" s="2" t="n">
        <v>0</v>
      </c>
    </row>
    <row r="1222" customFormat="false" ht="15" hidden="false" customHeight="false" outlineLevel="0" collapsed="false">
      <c r="A1222" s="2" t="s">
        <v>26</v>
      </c>
      <c r="B1222" s="2" t="n">
        <v>1</v>
      </c>
      <c r="C1222" s="2" t="n">
        <v>1</v>
      </c>
      <c r="D1222" s="2" t="n">
        <v>1</v>
      </c>
      <c r="E1222" s="2" t="n">
        <v>1</v>
      </c>
      <c r="F1222" s="2" t="n">
        <v>351.43</v>
      </c>
      <c r="G1222" s="2" t="n">
        <v>1</v>
      </c>
      <c r="H1222" s="2" t="n">
        <v>0</v>
      </c>
      <c r="I1222" s="2" t="n">
        <v>74.9</v>
      </c>
      <c r="J1222" s="2" t="n">
        <v>6</v>
      </c>
      <c r="K1222" s="2" t="s">
        <v>15</v>
      </c>
      <c r="L1222" s="2" t="s">
        <v>19</v>
      </c>
      <c r="M1222" s="2" t="s">
        <v>20</v>
      </c>
      <c r="N1222" s="2" t="n">
        <v>1</v>
      </c>
    </row>
    <row r="1223" customFormat="false" ht="15" hidden="false" customHeight="false" outlineLevel="0" collapsed="false">
      <c r="A1223" s="2" t="s">
        <v>26</v>
      </c>
      <c r="B1223" s="2" t="n">
        <v>1</v>
      </c>
      <c r="C1223" s="2" t="n">
        <v>1</v>
      </c>
      <c r="D1223" s="2" t="n">
        <v>1</v>
      </c>
      <c r="E1223" s="2" t="n">
        <v>1</v>
      </c>
      <c r="F1223" s="2" t="n">
        <v>352.42</v>
      </c>
      <c r="G1223" s="2" t="n">
        <v>0</v>
      </c>
      <c r="H1223" s="2" t="n">
        <v>0</v>
      </c>
      <c r="I1223" s="2" t="n">
        <v>58.5</v>
      </c>
      <c r="J1223" s="2" t="n">
        <v>4</v>
      </c>
      <c r="K1223" s="2" t="s">
        <v>23</v>
      </c>
      <c r="L1223" s="2" t="s">
        <v>16</v>
      </c>
      <c r="M1223" s="2" t="s">
        <v>20</v>
      </c>
      <c r="N1223" s="2" t="n">
        <v>0</v>
      </c>
    </row>
    <row r="1224" customFormat="false" ht="15" hidden="false" customHeight="false" outlineLevel="0" collapsed="false">
      <c r="A1224" s="2" t="s">
        <v>26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63.5</v>
      </c>
      <c r="K1224" s="2" t="s">
        <v>18</v>
      </c>
      <c r="L1224" s="2" t="s">
        <v>19</v>
      </c>
      <c r="M1224" s="2" t="s">
        <v>20</v>
      </c>
      <c r="N1224" s="2" t="n">
        <v>0</v>
      </c>
    </row>
    <row r="1225" customFormat="false" ht="15" hidden="false" customHeight="false" outlineLevel="0" collapsed="false">
      <c r="A1225" s="2" t="s">
        <v>26</v>
      </c>
      <c r="B1225" s="2" t="n">
        <v>1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1</v>
      </c>
      <c r="H1225" s="2" t="n">
        <v>0</v>
      </c>
      <c r="I1225" s="2" t="n">
        <v>64.8</v>
      </c>
      <c r="K1225" s="2" t="s">
        <v>15</v>
      </c>
      <c r="L1225" s="2" t="s">
        <v>19</v>
      </c>
      <c r="M1225" s="2" t="s">
        <v>17</v>
      </c>
      <c r="N1225" s="2" t="n">
        <v>1</v>
      </c>
    </row>
    <row r="1226" customFormat="false" ht="15" hidden="false" customHeight="false" outlineLevel="0" collapsed="false">
      <c r="A1226" s="2" t="s">
        <v>26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63.3</v>
      </c>
      <c r="K1226" s="2" t="s">
        <v>18</v>
      </c>
      <c r="L1226" s="2" t="s">
        <v>19</v>
      </c>
      <c r="M1226" s="2" t="s">
        <v>20</v>
      </c>
      <c r="N1226" s="2" t="n">
        <v>0</v>
      </c>
    </row>
    <row r="1227" customFormat="false" ht="15" hidden="false" customHeight="false" outlineLevel="0" collapsed="false">
      <c r="A1227" s="2" t="s">
        <v>26</v>
      </c>
      <c r="B1227" s="2" t="n">
        <v>1</v>
      </c>
      <c r="C1227" s="2" t="n">
        <v>1</v>
      </c>
      <c r="D1227" s="2" t="n">
        <v>1</v>
      </c>
      <c r="E1227" s="2" t="n">
        <v>1</v>
      </c>
      <c r="F1227" s="2" t="n">
        <v>1074.16</v>
      </c>
      <c r="G1227" s="2" t="n">
        <v>0</v>
      </c>
      <c r="H1227" s="2" t="n">
        <v>0</v>
      </c>
      <c r="I1227" s="2" t="n">
        <v>83.7</v>
      </c>
      <c r="J1227" s="2" t="n">
        <v>8</v>
      </c>
      <c r="K1227" s="2" t="s">
        <v>15</v>
      </c>
      <c r="L1227" s="2" t="s">
        <v>24</v>
      </c>
      <c r="M1227" s="2" t="s">
        <v>17</v>
      </c>
      <c r="N1227" s="2" t="n">
        <v>0</v>
      </c>
    </row>
    <row r="1228" customFormat="false" ht="15" hidden="false" customHeight="false" outlineLevel="0" collapsed="false">
      <c r="A1228" s="2" t="s">
        <v>26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88.7</v>
      </c>
      <c r="K1228" s="2" t="s">
        <v>23</v>
      </c>
      <c r="L1228" s="2" t="s">
        <v>16</v>
      </c>
      <c r="M1228" s="2" t="s">
        <v>17</v>
      </c>
      <c r="N1228" s="2" t="n">
        <v>0</v>
      </c>
    </row>
    <row r="1229" customFormat="false" ht="15" hidden="false" customHeight="false" outlineLevel="0" collapsed="false">
      <c r="A1229" s="2" t="s">
        <v>26</v>
      </c>
      <c r="B1229" s="2" t="n">
        <v>1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1</v>
      </c>
      <c r="H1229" s="2" t="n">
        <v>0</v>
      </c>
      <c r="I1229" s="2" t="n">
        <v>61.5</v>
      </c>
      <c r="K1229" s="2" t="s">
        <v>21</v>
      </c>
      <c r="L1229" s="2" t="s">
        <v>25</v>
      </c>
      <c r="M1229" s="2" t="s">
        <v>20</v>
      </c>
      <c r="N1229" s="2" t="n">
        <v>1</v>
      </c>
    </row>
    <row r="1230" customFormat="false" ht="15" hidden="false" customHeight="false" outlineLevel="0" collapsed="false">
      <c r="A1230" s="2" t="s">
        <v>26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45.3</v>
      </c>
      <c r="K1230" s="2" t="s">
        <v>18</v>
      </c>
      <c r="L1230" s="2" t="s">
        <v>19</v>
      </c>
      <c r="M1230" s="2" t="s">
        <v>20</v>
      </c>
      <c r="N1230" s="2" t="n">
        <v>0</v>
      </c>
    </row>
    <row r="1231" customFormat="false" ht="15" hidden="false" customHeight="false" outlineLevel="0" collapsed="false">
      <c r="A1231" s="2" t="s">
        <v>26</v>
      </c>
      <c r="B1231" s="2" t="n">
        <v>1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37.3</v>
      </c>
      <c r="K1231" s="2" t="s">
        <v>15</v>
      </c>
      <c r="L1231" s="2" t="s">
        <v>19</v>
      </c>
      <c r="M1231" s="2" t="s">
        <v>20</v>
      </c>
      <c r="N1231" s="2" t="n">
        <v>0</v>
      </c>
    </row>
    <row r="1232" customFormat="false" ht="15" hidden="false" customHeight="false" outlineLevel="0" collapsed="false">
      <c r="A1232" s="2" t="s">
        <v>26</v>
      </c>
      <c r="B1232" s="2" t="n">
        <v>1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1</v>
      </c>
      <c r="H1232" s="2" t="n">
        <v>0</v>
      </c>
      <c r="I1232" s="2" t="n">
        <v>76.1</v>
      </c>
      <c r="K1232" s="2" t="s">
        <v>18</v>
      </c>
      <c r="L1232" s="2" t="s">
        <v>16</v>
      </c>
      <c r="M1232" s="2" t="s">
        <v>22</v>
      </c>
      <c r="N1232" s="2" t="n">
        <v>1</v>
      </c>
    </row>
    <row r="1233" customFormat="false" ht="15" hidden="false" customHeight="false" outlineLevel="0" collapsed="false">
      <c r="A1233" s="2" t="s">
        <v>26</v>
      </c>
      <c r="B1233" s="2" t="n">
        <v>1</v>
      </c>
      <c r="C1233" s="2" t="n">
        <v>1</v>
      </c>
      <c r="D1233" s="2" t="n">
        <v>1</v>
      </c>
      <c r="E1233" s="2" t="n">
        <v>0</v>
      </c>
      <c r="F1233" s="2" t="n">
        <v>0</v>
      </c>
      <c r="G1233" s="2" t="n">
        <v>1</v>
      </c>
      <c r="H1233" s="2" t="n">
        <v>0</v>
      </c>
      <c r="I1233" s="2" t="n">
        <v>72.5</v>
      </c>
      <c r="K1233" s="2" t="s">
        <v>21</v>
      </c>
      <c r="L1233" s="2" t="s">
        <v>19</v>
      </c>
      <c r="M1233" s="2" t="s">
        <v>20</v>
      </c>
      <c r="N1233" s="2" t="n">
        <v>1</v>
      </c>
    </row>
    <row r="1234" customFormat="false" ht="15" hidden="false" customHeight="false" outlineLevel="0" collapsed="false">
      <c r="A1234" s="2" t="s">
        <v>26</v>
      </c>
      <c r="B1234" s="2" t="n">
        <v>1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62.3</v>
      </c>
      <c r="K1234" s="2" t="s">
        <v>21</v>
      </c>
      <c r="L1234" s="2" t="s">
        <v>16</v>
      </c>
      <c r="M1234" s="2" t="s">
        <v>20</v>
      </c>
      <c r="N1234" s="2" t="n">
        <v>0</v>
      </c>
    </row>
    <row r="1235" customFormat="false" ht="15" hidden="false" customHeight="false" outlineLevel="0" collapsed="false">
      <c r="A1235" s="2" t="s">
        <v>26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62.7</v>
      </c>
      <c r="K1235" s="2" t="s">
        <v>21</v>
      </c>
      <c r="L1235" s="2" t="s">
        <v>16</v>
      </c>
      <c r="M1235" s="2" t="s">
        <v>20</v>
      </c>
      <c r="N1235" s="2" t="n">
        <v>0</v>
      </c>
    </row>
    <row r="1236" customFormat="false" ht="15" hidden="false" customHeight="false" outlineLevel="0" collapsed="false">
      <c r="A1236" s="2" t="s">
        <v>26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82.4</v>
      </c>
      <c r="K1236" s="2" t="s">
        <v>15</v>
      </c>
      <c r="L1236" s="2" t="s">
        <v>19</v>
      </c>
      <c r="M1236" s="2" t="s">
        <v>17</v>
      </c>
      <c r="N1236" s="2" t="n">
        <v>0</v>
      </c>
    </row>
    <row r="1237" customFormat="false" ht="15" hidden="false" customHeight="false" outlineLevel="0" collapsed="false">
      <c r="A1237" s="2" t="s">
        <v>26</v>
      </c>
      <c r="B1237" s="2" t="n">
        <v>1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78.9</v>
      </c>
      <c r="K1237" s="2" t="s">
        <v>18</v>
      </c>
      <c r="L1237" s="2" t="s">
        <v>19</v>
      </c>
      <c r="M1237" s="2" t="s">
        <v>22</v>
      </c>
      <c r="N1237" s="2" t="n">
        <v>0</v>
      </c>
    </row>
    <row r="1238" customFormat="false" ht="15" hidden="false" customHeight="false" outlineLevel="0" collapsed="false">
      <c r="A1238" s="2" t="s">
        <v>26</v>
      </c>
      <c r="B1238" s="2" t="n">
        <v>1</v>
      </c>
      <c r="C1238" s="2" t="n">
        <v>1</v>
      </c>
      <c r="D1238" s="2" t="n">
        <v>1</v>
      </c>
      <c r="E1238" s="2" t="n">
        <v>1</v>
      </c>
      <c r="F1238" s="2" t="n">
        <v>618.91</v>
      </c>
      <c r="G1238" s="2" t="n">
        <v>0</v>
      </c>
      <c r="H1238" s="2" t="n">
        <v>0</v>
      </c>
      <c r="I1238" s="2" t="n">
        <v>67.8</v>
      </c>
      <c r="J1238" s="2" t="n">
        <v>4</v>
      </c>
      <c r="K1238" s="2" t="s">
        <v>18</v>
      </c>
      <c r="L1238" s="2" t="s">
        <v>16</v>
      </c>
      <c r="M1238" s="2" t="s">
        <v>20</v>
      </c>
      <c r="N1238" s="2" t="n">
        <v>0</v>
      </c>
    </row>
    <row r="1239" customFormat="false" ht="15" hidden="false" customHeight="false" outlineLevel="0" collapsed="false">
      <c r="A1239" s="2" t="s">
        <v>26</v>
      </c>
      <c r="B1239" s="2" t="n">
        <v>1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68.8</v>
      </c>
      <c r="K1239" s="2" t="s">
        <v>21</v>
      </c>
      <c r="L1239" s="2" t="s">
        <v>19</v>
      </c>
      <c r="M1239" s="2" t="s">
        <v>22</v>
      </c>
      <c r="N1239" s="2" t="n">
        <v>0</v>
      </c>
    </row>
    <row r="1240" customFormat="false" ht="15" hidden="false" customHeight="false" outlineLevel="0" collapsed="false">
      <c r="A1240" s="2" t="s">
        <v>26</v>
      </c>
      <c r="B1240" s="2" t="n">
        <v>1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67.7</v>
      </c>
      <c r="K1240" s="2" t="s">
        <v>21</v>
      </c>
      <c r="L1240" s="2" t="s">
        <v>19</v>
      </c>
      <c r="M1240" s="2" t="s">
        <v>22</v>
      </c>
      <c r="N1240" s="2" t="n">
        <v>0</v>
      </c>
    </row>
    <row r="1241" customFormat="false" ht="15" hidden="false" customHeight="false" outlineLevel="0" collapsed="false">
      <c r="A1241" s="2" t="s">
        <v>26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88</v>
      </c>
      <c r="K1241" s="2" t="s">
        <v>21</v>
      </c>
      <c r="L1241" s="2" t="s">
        <v>19</v>
      </c>
      <c r="M1241" s="2" t="s">
        <v>20</v>
      </c>
      <c r="N1241" s="2" t="n">
        <v>0</v>
      </c>
    </row>
    <row r="1242" customFormat="false" ht="15" hidden="false" customHeight="false" outlineLevel="0" collapsed="false">
      <c r="A1242" s="2" t="s">
        <v>26</v>
      </c>
      <c r="B1242" s="2" t="n">
        <v>1</v>
      </c>
      <c r="C1242" s="2" t="n">
        <v>1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80.1</v>
      </c>
      <c r="K1242" s="2" t="s">
        <v>18</v>
      </c>
      <c r="L1242" s="2" t="s">
        <v>16</v>
      </c>
      <c r="M1242" s="2" t="s">
        <v>17</v>
      </c>
      <c r="N1242" s="2" t="n">
        <v>0</v>
      </c>
    </row>
    <row r="1243" customFormat="false" ht="15" hidden="false" customHeight="false" outlineLevel="0" collapsed="false">
      <c r="A1243" s="2" t="s">
        <v>26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1</v>
      </c>
      <c r="H1243" s="2" t="n">
        <v>0</v>
      </c>
      <c r="I1243" s="2" t="n">
        <v>48.2</v>
      </c>
      <c r="K1243" s="2" t="s">
        <v>15</v>
      </c>
      <c r="L1243" s="2" t="s">
        <v>24</v>
      </c>
      <c r="M1243" s="2" t="s">
        <v>17</v>
      </c>
      <c r="N1243" s="2" t="n">
        <v>1</v>
      </c>
    </row>
    <row r="1244" customFormat="false" ht="15" hidden="false" customHeight="false" outlineLevel="0" collapsed="false">
      <c r="A1244" s="2" t="s">
        <v>26</v>
      </c>
      <c r="B1244" s="2" t="n">
        <v>1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52.7</v>
      </c>
      <c r="K1244" s="2" t="s">
        <v>21</v>
      </c>
      <c r="L1244" s="2" t="s">
        <v>19</v>
      </c>
      <c r="M1244" s="2" t="s">
        <v>17</v>
      </c>
      <c r="N1244" s="2" t="n">
        <v>0</v>
      </c>
    </row>
    <row r="1245" customFormat="false" ht="15" hidden="false" customHeight="false" outlineLevel="0" collapsed="false">
      <c r="A1245" s="2" t="s">
        <v>26</v>
      </c>
      <c r="B1245" s="2" t="n">
        <v>1</v>
      </c>
      <c r="C1245" s="2" t="n">
        <v>1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59.9</v>
      </c>
      <c r="K1245" s="2" t="s">
        <v>15</v>
      </c>
      <c r="L1245" s="2" t="s">
        <v>19</v>
      </c>
      <c r="M1245" s="2" t="s">
        <v>17</v>
      </c>
      <c r="N1245" s="2" t="n">
        <v>0</v>
      </c>
    </row>
    <row r="1246" customFormat="false" ht="15" hidden="false" customHeight="false" outlineLevel="0" collapsed="false">
      <c r="A1246" s="2" t="s">
        <v>26</v>
      </c>
      <c r="B1246" s="2" t="n">
        <v>1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49.5</v>
      </c>
      <c r="K1246" s="2" t="s">
        <v>15</v>
      </c>
      <c r="L1246" s="2" t="s">
        <v>19</v>
      </c>
      <c r="M1246" s="2" t="s">
        <v>22</v>
      </c>
      <c r="N1246" s="2" t="n">
        <v>0</v>
      </c>
    </row>
    <row r="1247" customFormat="false" ht="15" hidden="false" customHeight="false" outlineLevel="0" collapsed="false">
      <c r="A1247" s="2" t="s">
        <v>26</v>
      </c>
      <c r="B1247" s="2" t="n">
        <v>1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41.5</v>
      </c>
      <c r="K1247" s="2" t="s">
        <v>15</v>
      </c>
      <c r="L1247" s="2" t="s">
        <v>24</v>
      </c>
      <c r="M1247" s="2" t="s">
        <v>20</v>
      </c>
      <c r="N1247" s="2" t="n">
        <v>0</v>
      </c>
    </row>
    <row r="1248" customFormat="false" ht="15" hidden="false" customHeight="false" outlineLevel="0" collapsed="false">
      <c r="A1248" s="2" t="s">
        <v>26</v>
      </c>
      <c r="B1248" s="2" t="n">
        <v>1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71.2</v>
      </c>
      <c r="K1248" s="2" t="s">
        <v>15</v>
      </c>
      <c r="L1248" s="2" t="s">
        <v>19</v>
      </c>
      <c r="M1248" s="2" t="s">
        <v>17</v>
      </c>
      <c r="N1248" s="2" t="n">
        <v>0</v>
      </c>
    </row>
    <row r="1249" customFormat="false" ht="15" hidden="false" customHeight="false" outlineLevel="0" collapsed="false">
      <c r="A1249" s="2" t="s">
        <v>26</v>
      </c>
      <c r="B1249" s="2" t="n">
        <v>1</v>
      </c>
      <c r="C1249" s="2" t="n">
        <v>1</v>
      </c>
      <c r="D1249" s="2" t="n">
        <v>1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65.8</v>
      </c>
      <c r="K1249" s="2" t="s">
        <v>15</v>
      </c>
      <c r="L1249" s="2" t="s">
        <v>19</v>
      </c>
      <c r="M1249" s="2" t="s">
        <v>17</v>
      </c>
      <c r="N1249" s="2" t="n">
        <v>0</v>
      </c>
    </row>
    <row r="1250" customFormat="false" ht="15" hidden="false" customHeight="false" outlineLevel="0" collapsed="false">
      <c r="A1250" s="2" t="s">
        <v>26</v>
      </c>
      <c r="B1250" s="2" t="n">
        <v>1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1</v>
      </c>
      <c r="H1250" s="2" t="n">
        <v>0</v>
      </c>
      <c r="I1250" s="2" t="n">
        <v>55.1</v>
      </c>
      <c r="K1250" s="2" t="s">
        <v>21</v>
      </c>
      <c r="L1250" s="2" t="s">
        <v>19</v>
      </c>
      <c r="M1250" s="2" t="s">
        <v>17</v>
      </c>
      <c r="N1250" s="2" t="n">
        <v>1</v>
      </c>
    </row>
    <row r="1251" customFormat="false" ht="15" hidden="false" customHeight="false" outlineLevel="0" collapsed="false">
      <c r="A1251" s="2" t="s">
        <v>26</v>
      </c>
      <c r="B1251" s="2" t="n">
        <v>1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54.6</v>
      </c>
      <c r="K1251" s="2" t="s">
        <v>18</v>
      </c>
      <c r="L1251" s="2" t="s">
        <v>16</v>
      </c>
      <c r="M1251" s="2" t="s">
        <v>20</v>
      </c>
      <c r="N1251" s="2" t="n">
        <v>0</v>
      </c>
    </row>
    <row r="1252" customFormat="false" ht="15" hidden="false" customHeight="false" outlineLevel="0" collapsed="false">
      <c r="A1252" s="2" t="s">
        <v>26</v>
      </c>
      <c r="B1252" s="2" t="n">
        <v>1</v>
      </c>
      <c r="C1252" s="2" t="n">
        <v>1</v>
      </c>
      <c r="D1252" s="2" t="n">
        <v>1</v>
      </c>
      <c r="E1252" s="2" t="n">
        <v>1</v>
      </c>
      <c r="F1252" s="2" t="n">
        <v>923.67</v>
      </c>
      <c r="G1252" s="2" t="n">
        <v>0</v>
      </c>
      <c r="H1252" s="2" t="n">
        <v>0</v>
      </c>
      <c r="I1252" s="2" t="n">
        <v>81.9</v>
      </c>
      <c r="J1252" s="2" t="n">
        <v>4</v>
      </c>
      <c r="K1252" s="2" t="s">
        <v>21</v>
      </c>
      <c r="L1252" s="2" t="s">
        <v>19</v>
      </c>
      <c r="M1252" s="2" t="s">
        <v>17</v>
      </c>
      <c r="N1252" s="2" t="n">
        <v>0</v>
      </c>
    </row>
    <row r="1253" customFormat="false" ht="15" hidden="false" customHeight="false" outlineLevel="0" collapsed="false">
      <c r="A1253" s="2" t="s">
        <v>26</v>
      </c>
      <c r="B1253" s="2" t="n">
        <v>1</v>
      </c>
      <c r="C1253" s="2" t="n">
        <v>1</v>
      </c>
      <c r="D1253" s="2" t="n">
        <v>0</v>
      </c>
      <c r="E1253" s="2" t="n">
        <v>0</v>
      </c>
      <c r="F1253" s="2" t="n">
        <v>0</v>
      </c>
      <c r="G1253" s="2" t="n">
        <v>1</v>
      </c>
      <c r="H1253" s="2" t="n">
        <v>0</v>
      </c>
      <c r="I1253" s="2" t="n">
        <v>63.2</v>
      </c>
      <c r="K1253" s="2" t="s">
        <v>23</v>
      </c>
      <c r="L1253" s="2" t="s">
        <v>19</v>
      </c>
      <c r="M1253" s="2" t="s">
        <v>17</v>
      </c>
      <c r="N1253" s="2" t="n">
        <v>3</v>
      </c>
    </row>
    <row r="1254" customFormat="false" ht="15" hidden="false" customHeight="false" outlineLevel="0" collapsed="false">
      <c r="A1254" s="2" t="s">
        <v>26</v>
      </c>
      <c r="B1254" s="2" t="n">
        <v>1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55.4</v>
      </c>
      <c r="K1254" s="2" t="s">
        <v>15</v>
      </c>
      <c r="L1254" s="2" t="s">
        <v>19</v>
      </c>
      <c r="M1254" s="2" t="s">
        <v>20</v>
      </c>
      <c r="N1254" s="2" t="n">
        <v>0</v>
      </c>
    </row>
    <row r="1255" customFormat="false" ht="15" hidden="false" customHeight="false" outlineLevel="0" collapsed="false">
      <c r="A1255" s="2" t="s">
        <v>26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87.5</v>
      </c>
      <c r="K1255" s="2" t="s">
        <v>18</v>
      </c>
      <c r="L1255" s="2" t="s">
        <v>19</v>
      </c>
      <c r="M1255" s="2" t="s">
        <v>17</v>
      </c>
      <c r="N1255" s="2" t="n">
        <v>0</v>
      </c>
    </row>
    <row r="1256" customFormat="false" ht="15" hidden="false" customHeight="false" outlineLevel="0" collapsed="false">
      <c r="A1256" s="2" t="s">
        <v>26</v>
      </c>
      <c r="B1256" s="2" t="n">
        <v>1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48.5</v>
      </c>
      <c r="K1256" s="2" t="s">
        <v>23</v>
      </c>
      <c r="L1256" s="2" t="s">
        <v>16</v>
      </c>
      <c r="M1256" s="2" t="s">
        <v>17</v>
      </c>
      <c r="N1256" s="2" t="n">
        <v>0</v>
      </c>
    </row>
    <row r="1257" customFormat="false" ht="15" hidden="false" customHeight="false" outlineLevel="0" collapsed="false">
      <c r="A1257" s="2" t="s">
        <v>26</v>
      </c>
      <c r="B1257" s="2" t="n">
        <v>1</v>
      </c>
      <c r="C1257" s="2" t="n">
        <v>1</v>
      </c>
      <c r="D1257" s="2" t="n">
        <v>1</v>
      </c>
      <c r="E1257" s="2" t="n">
        <v>1</v>
      </c>
      <c r="F1257" s="2" t="n">
        <v>420.27</v>
      </c>
      <c r="G1257" s="2" t="n">
        <v>0</v>
      </c>
      <c r="H1257" s="2" t="n">
        <v>0</v>
      </c>
      <c r="I1257" s="2" t="n">
        <v>58.4</v>
      </c>
      <c r="J1257" s="2" t="n">
        <v>6</v>
      </c>
      <c r="K1257" s="2" t="s">
        <v>21</v>
      </c>
      <c r="L1257" s="2" t="s">
        <v>16</v>
      </c>
      <c r="M1257" s="2" t="s">
        <v>20</v>
      </c>
      <c r="N1257" s="2" t="n">
        <v>0</v>
      </c>
    </row>
    <row r="1258" customFormat="false" ht="15" hidden="false" customHeight="false" outlineLevel="0" collapsed="false">
      <c r="A1258" s="2" t="s">
        <v>26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59.5</v>
      </c>
      <c r="K1258" s="2" t="s">
        <v>18</v>
      </c>
      <c r="L1258" s="2" t="s">
        <v>19</v>
      </c>
      <c r="M1258" s="2" t="s">
        <v>20</v>
      </c>
      <c r="N1258" s="2" t="n">
        <v>0</v>
      </c>
    </row>
    <row r="1259" customFormat="false" ht="15" hidden="false" customHeight="false" outlineLevel="0" collapsed="false">
      <c r="A1259" s="2" t="s">
        <v>26</v>
      </c>
      <c r="B1259" s="2" t="n">
        <v>1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93.2</v>
      </c>
      <c r="K1259" s="2" t="s">
        <v>18</v>
      </c>
      <c r="L1259" s="2" t="s">
        <v>16</v>
      </c>
      <c r="M1259" s="2" t="s">
        <v>17</v>
      </c>
      <c r="N1259" s="2" t="n">
        <v>0</v>
      </c>
    </row>
    <row r="1260" customFormat="false" ht="15" hidden="false" customHeight="false" outlineLevel="0" collapsed="false">
      <c r="A1260" s="2" t="s">
        <v>26</v>
      </c>
      <c r="B1260" s="2" t="n">
        <v>1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59</v>
      </c>
      <c r="K1260" s="2" t="s">
        <v>18</v>
      </c>
      <c r="L1260" s="2" t="s">
        <v>16</v>
      </c>
      <c r="M1260" s="2" t="s">
        <v>17</v>
      </c>
      <c r="N1260" s="2" t="n">
        <v>0</v>
      </c>
    </row>
    <row r="1261" customFormat="false" ht="15" hidden="false" customHeight="false" outlineLevel="0" collapsed="false">
      <c r="A1261" s="2" t="s">
        <v>26</v>
      </c>
      <c r="B1261" s="2" t="n">
        <v>1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37</v>
      </c>
      <c r="K1261" s="2" t="s">
        <v>15</v>
      </c>
      <c r="L1261" s="2" t="s">
        <v>19</v>
      </c>
      <c r="M1261" s="2" t="s">
        <v>20</v>
      </c>
      <c r="N1261" s="2" t="n">
        <v>0</v>
      </c>
    </row>
    <row r="1262" customFormat="false" ht="15" hidden="false" customHeight="false" outlineLevel="0" collapsed="false">
      <c r="A1262" s="2" t="s">
        <v>26</v>
      </c>
      <c r="B1262" s="2" t="n">
        <v>1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47.5</v>
      </c>
      <c r="K1262" s="2" t="s">
        <v>15</v>
      </c>
      <c r="L1262" s="2" t="s">
        <v>16</v>
      </c>
      <c r="M1262" s="2" t="s">
        <v>20</v>
      </c>
      <c r="N1262" s="2" t="n">
        <v>0</v>
      </c>
    </row>
    <row r="1263" customFormat="false" ht="15" hidden="false" customHeight="false" outlineLevel="0" collapsed="false">
      <c r="A1263" s="2" t="s">
        <v>26</v>
      </c>
      <c r="B1263" s="2" t="n">
        <v>1</v>
      </c>
      <c r="C1263" s="2" t="n">
        <v>1</v>
      </c>
      <c r="D1263" s="2" t="n">
        <v>1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78.7</v>
      </c>
      <c r="K1263" s="2" t="s">
        <v>18</v>
      </c>
      <c r="L1263" s="2" t="s">
        <v>16</v>
      </c>
      <c r="M1263" s="2" t="s">
        <v>20</v>
      </c>
      <c r="N1263" s="2" t="n">
        <v>0</v>
      </c>
    </row>
    <row r="1264" customFormat="false" ht="15" hidden="false" customHeight="false" outlineLevel="0" collapsed="false">
      <c r="A1264" s="2" t="s">
        <v>26</v>
      </c>
      <c r="B1264" s="2" t="n">
        <v>1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49.6</v>
      </c>
      <c r="K1264" s="2" t="s">
        <v>15</v>
      </c>
      <c r="L1264" s="2" t="s">
        <v>19</v>
      </c>
      <c r="M1264" s="2" t="s">
        <v>20</v>
      </c>
      <c r="N1264" s="2" t="n">
        <v>0</v>
      </c>
    </row>
    <row r="1265" customFormat="false" ht="15" hidden="false" customHeight="false" outlineLevel="0" collapsed="false">
      <c r="A1265" s="2" t="s">
        <v>26</v>
      </c>
      <c r="B1265" s="2" t="n">
        <v>1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58</v>
      </c>
      <c r="K1265" s="2" t="s">
        <v>21</v>
      </c>
      <c r="L1265" s="2" t="s">
        <v>19</v>
      </c>
      <c r="M1265" s="2" t="s">
        <v>20</v>
      </c>
      <c r="N1265" s="2" t="n">
        <v>0</v>
      </c>
    </row>
    <row r="1266" customFormat="false" ht="15" hidden="false" customHeight="false" outlineLevel="0" collapsed="false">
      <c r="A1266" s="2" t="s">
        <v>26</v>
      </c>
      <c r="B1266" s="2" t="n">
        <v>1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1</v>
      </c>
      <c r="H1266" s="2" t="n">
        <v>0</v>
      </c>
      <c r="I1266" s="2" t="n">
        <v>54.4</v>
      </c>
      <c r="K1266" s="2" t="s">
        <v>15</v>
      </c>
      <c r="L1266" s="2" t="s">
        <v>16</v>
      </c>
      <c r="M1266" s="2" t="s">
        <v>20</v>
      </c>
      <c r="N1266" s="2" t="n">
        <v>1</v>
      </c>
    </row>
    <row r="1267" customFormat="false" ht="15" hidden="false" customHeight="false" outlineLevel="0" collapsed="false">
      <c r="A1267" s="2" t="s">
        <v>26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33.7</v>
      </c>
      <c r="K1267" s="2" t="s">
        <v>21</v>
      </c>
      <c r="L1267" s="2" t="s">
        <v>19</v>
      </c>
      <c r="M1267" s="2" t="s">
        <v>20</v>
      </c>
      <c r="N1267" s="2" t="n">
        <v>0</v>
      </c>
    </row>
    <row r="1268" customFormat="false" ht="15" hidden="false" customHeight="false" outlineLevel="0" collapsed="false">
      <c r="A1268" s="2" t="s">
        <v>26</v>
      </c>
      <c r="B1268" s="2" t="n">
        <v>1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72.7</v>
      </c>
      <c r="K1268" s="2" t="s">
        <v>18</v>
      </c>
      <c r="L1268" s="2" t="s">
        <v>19</v>
      </c>
      <c r="M1268" s="2" t="s">
        <v>20</v>
      </c>
      <c r="N1268" s="2" t="n">
        <v>0</v>
      </c>
    </row>
    <row r="1269" customFormat="false" ht="15" hidden="false" customHeight="false" outlineLevel="0" collapsed="false">
      <c r="A1269" s="2" t="s">
        <v>26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64.7</v>
      </c>
      <c r="K1269" s="2" t="s">
        <v>21</v>
      </c>
      <c r="L1269" s="2" t="s">
        <v>16</v>
      </c>
      <c r="M1269" s="2" t="s">
        <v>17</v>
      </c>
      <c r="N1269" s="2" t="n">
        <v>0</v>
      </c>
    </row>
    <row r="1270" customFormat="false" ht="15" hidden="false" customHeight="false" outlineLevel="0" collapsed="false">
      <c r="A1270" s="2" t="s">
        <v>26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1</v>
      </c>
      <c r="H1270" s="2" t="n">
        <v>0</v>
      </c>
      <c r="I1270" s="2" t="n">
        <v>48.6</v>
      </c>
      <c r="K1270" s="2" t="s">
        <v>18</v>
      </c>
      <c r="L1270" s="2" t="s">
        <v>16</v>
      </c>
      <c r="M1270" s="2" t="s">
        <v>22</v>
      </c>
      <c r="N1270" s="2" t="n">
        <v>1</v>
      </c>
    </row>
    <row r="1271" customFormat="false" ht="15" hidden="false" customHeight="false" outlineLevel="0" collapsed="false">
      <c r="A1271" s="2" t="s">
        <v>26</v>
      </c>
      <c r="B1271" s="2" t="n">
        <v>1</v>
      </c>
      <c r="C1271" s="2" t="n">
        <v>1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66.2</v>
      </c>
      <c r="K1271" s="2" t="s">
        <v>21</v>
      </c>
      <c r="L1271" s="2" t="s">
        <v>16</v>
      </c>
      <c r="M1271" s="2" t="s">
        <v>20</v>
      </c>
      <c r="N1271" s="2" t="n">
        <v>0</v>
      </c>
    </row>
    <row r="1272" customFormat="false" ht="15" hidden="false" customHeight="false" outlineLevel="0" collapsed="false">
      <c r="A1272" s="2" t="s">
        <v>26</v>
      </c>
      <c r="B1272" s="2" t="n">
        <v>1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1</v>
      </c>
      <c r="H1272" s="2" t="n">
        <v>0</v>
      </c>
      <c r="I1272" s="2" t="n">
        <v>60.7</v>
      </c>
      <c r="K1272" s="2" t="s">
        <v>18</v>
      </c>
      <c r="L1272" s="2" t="s">
        <v>25</v>
      </c>
      <c r="M1272" s="2" t="s">
        <v>17</v>
      </c>
      <c r="N1272" s="2" t="n">
        <v>1</v>
      </c>
    </row>
    <row r="1273" customFormat="false" ht="15" hidden="false" customHeight="false" outlineLevel="0" collapsed="false">
      <c r="A1273" s="2" t="s">
        <v>26</v>
      </c>
      <c r="B1273" s="2" t="n">
        <v>1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36.5</v>
      </c>
      <c r="K1273" s="2" t="s">
        <v>18</v>
      </c>
      <c r="L1273" s="2" t="s">
        <v>19</v>
      </c>
      <c r="M1273" s="2" t="s">
        <v>17</v>
      </c>
      <c r="N1273" s="2" t="n">
        <v>0</v>
      </c>
    </row>
    <row r="1274" customFormat="false" ht="15" hidden="false" customHeight="false" outlineLevel="0" collapsed="false">
      <c r="A1274" s="2" t="s">
        <v>26</v>
      </c>
      <c r="B1274" s="2" t="n">
        <v>1</v>
      </c>
      <c r="C1274" s="2" t="n">
        <v>1</v>
      </c>
      <c r="D1274" s="2" t="n">
        <v>1</v>
      </c>
      <c r="E1274" s="2" t="n">
        <v>0</v>
      </c>
      <c r="F1274" s="2" t="n">
        <v>0</v>
      </c>
      <c r="G1274" s="2" t="n">
        <v>1</v>
      </c>
      <c r="H1274" s="2" t="n">
        <v>0</v>
      </c>
      <c r="I1274" s="2" t="n">
        <v>69.7</v>
      </c>
      <c r="K1274" s="2" t="s">
        <v>18</v>
      </c>
      <c r="L1274" s="2" t="s">
        <v>19</v>
      </c>
      <c r="M1274" s="2" t="s">
        <v>20</v>
      </c>
      <c r="N1274" s="2" t="n">
        <v>3</v>
      </c>
    </row>
    <row r="1275" customFormat="false" ht="15" hidden="false" customHeight="false" outlineLevel="0" collapsed="false">
      <c r="A1275" s="2" t="s">
        <v>26</v>
      </c>
      <c r="B1275" s="2" t="n">
        <v>1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81.8</v>
      </c>
      <c r="K1275" s="2" t="s">
        <v>23</v>
      </c>
      <c r="L1275" s="2" t="s">
        <v>16</v>
      </c>
      <c r="M1275" s="2" t="s">
        <v>22</v>
      </c>
      <c r="N1275" s="2" t="n">
        <v>0</v>
      </c>
    </row>
    <row r="1276" customFormat="false" ht="15" hidden="false" customHeight="false" outlineLevel="0" collapsed="false">
      <c r="A1276" s="2" t="s">
        <v>26</v>
      </c>
      <c r="B1276" s="2" t="n">
        <v>1</v>
      </c>
      <c r="C1276" s="2" t="n">
        <v>1</v>
      </c>
      <c r="D1276" s="2" t="n">
        <v>1</v>
      </c>
      <c r="E1276" s="2" t="n">
        <v>0</v>
      </c>
      <c r="F1276" s="2" t="n">
        <v>0</v>
      </c>
      <c r="G1276" s="2" t="n">
        <v>1</v>
      </c>
      <c r="H1276" s="2" t="n">
        <v>0</v>
      </c>
      <c r="I1276" s="2" t="n">
        <v>78.3</v>
      </c>
      <c r="K1276" s="2" t="s">
        <v>18</v>
      </c>
      <c r="L1276" s="2" t="s">
        <v>19</v>
      </c>
      <c r="M1276" s="2" t="s">
        <v>20</v>
      </c>
      <c r="N1276" s="2" t="n">
        <v>1</v>
      </c>
    </row>
    <row r="1277" customFormat="false" ht="15" hidden="false" customHeight="false" outlineLevel="0" collapsed="false">
      <c r="A1277" s="2" t="s">
        <v>26</v>
      </c>
      <c r="B1277" s="2" t="n">
        <v>1</v>
      </c>
      <c r="C1277" s="2" t="n">
        <v>1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79.4</v>
      </c>
      <c r="K1277" s="2" t="s">
        <v>21</v>
      </c>
      <c r="L1277" s="2" t="s">
        <v>19</v>
      </c>
      <c r="M1277" s="2" t="s">
        <v>20</v>
      </c>
      <c r="N1277" s="2" t="n">
        <v>0</v>
      </c>
    </row>
    <row r="1278" customFormat="false" ht="15" hidden="false" customHeight="false" outlineLevel="0" collapsed="false">
      <c r="A1278" s="2" t="s">
        <v>26</v>
      </c>
      <c r="B1278" s="2" t="n">
        <v>1</v>
      </c>
      <c r="C1278" s="2" t="n">
        <v>1</v>
      </c>
      <c r="D1278" s="2" t="n">
        <v>1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54.9</v>
      </c>
      <c r="K1278" s="2" t="s">
        <v>15</v>
      </c>
      <c r="L1278" s="2" t="s">
        <v>16</v>
      </c>
      <c r="M1278" s="2" t="s">
        <v>20</v>
      </c>
      <c r="N1278" s="2" t="n">
        <v>0</v>
      </c>
    </row>
    <row r="1279" customFormat="false" ht="15" hidden="false" customHeight="false" outlineLevel="0" collapsed="false">
      <c r="A1279" s="2" t="s">
        <v>26</v>
      </c>
      <c r="B1279" s="2" t="n">
        <v>1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54.9</v>
      </c>
      <c r="K1279" s="2" t="s">
        <v>18</v>
      </c>
      <c r="L1279" s="2" t="s">
        <v>16</v>
      </c>
      <c r="M1279" s="2" t="s">
        <v>17</v>
      </c>
      <c r="N1279" s="2" t="n">
        <v>0</v>
      </c>
    </row>
    <row r="1280" customFormat="false" ht="15" hidden="false" customHeight="false" outlineLevel="0" collapsed="false">
      <c r="A1280" s="2" t="s">
        <v>26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28.7</v>
      </c>
      <c r="K1280" s="2" t="s">
        <v>21</v>
      </c>
      <c r="L1280" s="2" t="s">
        <v>16</v>
      </c>
      <c r="M1280" s="2" t="s">
        <v>20</v>
      </c>
      <c r="N1280" s="2" t="n">
        <v>0</v>
      </c>
    </row>
    <row r="1281" customFormat="false" ht="15" hidden="false" customHeight="false" outlineLevel="0" collapsed="false">
      <c r="A1281" s="2" t="s">
        <v>26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68.8</v>
      </c>
      <c r="K1281" s="2" t="s">
        <v>15</v>
      </c>
      <c r="L1281" s="2" t="s">
        <v>19</v>
      </c>
      <c r="M1281" s="2" t="s">
        <v>20</v>
      </c>
      <c r="N1281" s="2" t="n">
        <v>0</v>
      </c>
    </row>
    <row r="1282" customFormat="false" ht="15" hidden="false" customHeight="false" outlineLevel="0" collapsed="false">
      <c r="A1282" s="2" t="s">
        <v>26</v>
      </c>
      <c r="B1282" s="2" t="n">
        <v>1</v>
      </c>
      <c r="C1282" s="2" t="n">
        <v>1</v>
      </c>
      <c r="D1282" s="2" t="n">
        <v>1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43.5</v>
      </c>
      <c r="K1282" s="2" t="s">
        <v>21</v>
      </c>
      <c r="L1282" s="2" t="s">
        <v>16</v>
      </c>
      <c r="M1282" s="2" t="s">
        <v>20</v>
      </c>
      <c r="N1282" s="2" t="n">
        <v>0</v>
      </c>
    </row>
    <row r="1283" customFormat="false" ht="15" hidden="false" customHeight="false" outlineLevel="0" collapsed="false">
      <c r="A1283" s="2" t="s">
        <v>26</v>
      </c>
      <c r="B1283" s="2" t="n">
        <v>1</v>
      </c>
      <c r="C1283" s="2" t="n">
        <v>1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62.6</v>
      </c>
      <c r="K1283" s="2" t="s">
        <v>18</v>
      </c>
      <c r="L1283" s="2" t="s">
        <v>16</v>
      </c>
      <c r="M1283" s="2" t="s">
        <v>20</v>
      </c>
      <c r="N1283" s="2" t="n">
        <v>0</v>
      </c>
    </row>
    <row r="1284" customFormat="false" ht="15" hidden="false" customHeight="false" outlineLevel="0" collapsed="false">
      <c r="A1284" s="2" t="s">
        <v>26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1</v>
      </c>
      <c r="H1284" s="2" t="n">
        <v>0</v>
      </c>
      <c r="I1284" s="2" t="n">
        <v>54.1</v>
      </c>
      <c r="K1284" s="2" t="s">
        <v>18</v>
      </c>
      <c r="L1284" s="2" t="s">
        <v>19</v>
      </c>
      <c r="M1284" s="2" t="s">
        <v>20</v>
      </c>
      <c r="N1284" s="2" t="n">
        <v>1</v>
      </c>
    </row>
    <row r="1285" customFormat="false" ht="15" hidden="false" customHeight="false" outlineLevel="0" collapsed="false">
      <c r="A1285" s="2" t="s">
        <v>26</v>
      </c>
      <c r="B1285" s="2" t="n">
        <v>1</v>
      </c>
      <c r="C1285" s="2" t="n">
        <v>1</v>
      </c>
      <c r="D1285" s="2" t="n">
        <v>1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80.1</v>
      </c>
      <c r="K1285" s="2" t="s">
        <v>18</v>
      </c>
      <c r="L1285" s="2" t="s">
        <v>24</v>
      </c>
      <c r="M1285" s="2" t="s">
        <v>20</v>
      </c>
      <c r="N1285" s="2" t="n">
        <v>0</v>
      </c>
    </row>
    <row r="1286" customFormat="false" ht="15" hidden="false" customHeight="false" outlineLevel="0" collapsed="false">
      <c r="A1286" s="2" t="s">
        <v>26</v>
      </c>
      <c r="B1286" s="2" t="n">
        <v>1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69.5</v>
      </c>
      <c r="K1286" s="2" t="s">
        <v>15</v>
      </c>
      <c r="L1286" s="2" t="s">
        <v>19</v>
      </c>
      <c r="M1286" s="2" t="s">
        <v>22</v>
      </c>
      <c r="N1286" s="2" t="n">
        <v>0</v>
      </c>
    </row>
    <row r="1287" customFormat="false" ht="15" hidden="false" customHeight="false" outlineLevel="0" collapsed="false">
      <c r="A1287" s="2" t="s">
        <v>26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1</v>
      </c>
      <c r="H1287" s="2" t="n">
        <v>0</v>
      </c>
      <c r="I1287" s="2" t="n">
        <v>46.6</v>
      </c>
      <c r="K1287" s="2" t="s">
        <v>15</v>
      </c>
      <c r="L1287" s="2" t="s">
        <v>16</v>
      </c>
      <c r="M1287" s="2" t="s">
        <v>17</v>
      </c>
      <c r="N1287" s="2" t="n">
        <v>2</v>
      </c>
    </row>
    <row r="1288" customFormat="false" ht="15" hidden="false" customHeight="false" outlineLevel="0" collapsed="false">
      <c r="A1288" s="2" t="s">
        <v>26</v>
      </c>
      <c r="B1288" s="2" t="n">
        <v>1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1</v>
      </c>
      <c r="H1288" s="2" t="n">
        <v>0</v>
      </c>
      <c r="I1288" s="2" t="n">
        <v>54.9</v>
      </c>
      <c r="K1288" s="2" t="s">
        <v>23</v>
      </c>
      <c r="L1288" s="2" t="s">
        <v>19</v>
      </c>
      <c r="M1288" s="2" t="s">
        <v>22</v>
      </c>
      <c r="N1288" s="2" t="n">
        <v>1</v>
      </c>
    </row>
    <row r="1289" customFormat="false" ht="15" hidden="false" customHeight="false" outlineLevel="0" collapsed="false">
      <c r="A1289" s="2" t="s">
        <v>26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100</v>
      </c>
      <c r="K1289" s="2" t="s">
        <v>21</v>
      </c>
      <c r="L1289" s="2" t="s">
        <v>16</v>
      </c>
      <c r="M1289" s="2" t="s">
        <v>20</v>
      </c>
      <c r="N1289" s="2" t="n">
        <v>0</v>
      </c>
    </row>
    <row r="1290" customFormat="false" ht="15" hidden="false" customHeight="false" outlineLevel="0" collapsed="false">
      <c r="A1290" s="2" t="s">
        <v>26</v>
      </c>
      <c r="B1290" s="2" t="n">
        <v>1</v>
      </c>
      <c r="C1290" s="2" t="n">
        <v>1</v>
      </c>
      <c r="D1290" s="2" t="n">
        <v>1</v>
      </c>
      <c r="E1290" s="2" t="n">
        <v>0</v>
      </c>
      <c r="F1290" s="2" t="n">
        <v>0</v>
      </c>
      <c r="G1290" s="2" t="n">
        <v>1</v>
      </c>
      <c r="H1290" s="2" t="n">
        <v>0</v>
      </c>
      <c r="I1290" s="2" t="n">
        <v>80.5</v>
      </c>
      <c r="K1290" s="2" t="s">
        <v>21</v>
      </c>
      <c r="L1290" s="2" t="s">
        <v>16</v>
      </c>
      <c r="M1290" s="2" t="s">
        <v>20</v>
      </c>
      <c r="N1290" s="2" t="n">
        <v>1</v>
      </c>
    </row>
    <row r="1291" customFormat="false" ht="15" hidden="false" customHeight="false" outlineLevel="0" collapsed="false">
      <c r="A1291" s="2" t="s">
        <v>26</v>
      </c>
      <c r="B1291" s="2" t="n">
        <v>1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51.2</v>
      </c>
      <c r="K1291" s="2" t="s">
        <v>18</v>
      </c>
      <c r="L1291" s="2" t="s">
        <v>24</v>
      </c>
      <c r="M1291" s="2" t="s">
        <v>17</v>
      </c>
      <c r="N1291" s="2" t="n">
        <v>0</v>
      </c>
    </row>
    <row r="1292" customFormat="false" ht="15" hidden="false" customHeight="false" outlineLevel="0" collapsed="false">
      <c r="A1292" s="2" t="s">
        <v>26</v>
      </c>
      <c r="B1292" s="2" t="n">
        <v>1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42.5</v>
      </c>
      <c r="K1292" s="2" t="s">
        <v>23</v>
      </c>
      <c r="L1292" s="2" t="s">
        <v>16</v>
      </c>
      <c r="M1292" s="2" t="s">
        <v>22</v>
      </c>
      <c r="N1292" s="2" t="n">
        <v>0</v>
      </c>
    </row>
    <row r="1293" customFormat="false" ht="15" hidden="false" customHeight="false" outlineLevel="0" collapsed="false">
      <c r="A1293" s="2" t="s">
        <v>26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72.5</v>
      </c>
      <c r="K1293" s="2" t="s">
        <v>15</v>
      </c>
      <c r="L1293" s="2" t="s">
        <v>19</v>
      </c>
      <c r="M1293" s="2" t="s">
        <v>20</v>
      </c>
      <c r="N1293" s="2" t="n">
        <v>0</v>
      </c>
    </row>
    <row r="1294" customFormat="false" ht="15" hidden="false" customHeight="false" outlineLevel="0" collapsed="false">
      <c r="A1294" s="2" t="s">
        <v>26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74.4</v>
      </c>
      <c r="K1294" s="2" t="s">
        <v>18</v>
      </c>
      <c r="L1294" s="2" t="s">
        <v>19</v>
      </c>
      <c r="M1294" s="2" t="s">
        <v>22</v>
      </c>
      <c r="N1294" s="2" t="n">
        <v>0</v>
      </c>
    </row>
    <row r="1295" customFormat="false" ht="15" hidden="false" customHeight="false" outlineLevel="0" collapsed="false">
      <c r="A1295" s="2" t="s">
        <v>26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78.4</v>
      </c>
      <c r="K1295" s="2" t="s">
        <v>21</v>
      </c>
      <c r="L1295" s="2" t="s">
        <v>16</v>
      </c>
      <c r="M1295" s="2" t="s">
        <v>20</v>
      </c>
      <c r="N1295" s="2" t="n">
        <v>0</v>
      </c>
    </row>
    <row r="1296" customFormat="false" ht="15" hidden="false" customHeight="false" outlineLevel="0" collapsed="false">
      <c r="A1296" s="2" t="s">
        <v>26</v>
      </c>
      <c r="B1296" s="2" t="n">
        <v>1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71.5</v>
      </c>
      <c r="K1296" s="2" t="s">
        <v>15</v>
      </c>
      <c r="L1296" s="2" t="s">
        <v>16</v>
      </c>
      <c r="M1296" s="2" t="s">
        <v>20</v>
      </c>
      <c r="N1296" s="2" t="n">
        <v>0</v>
      </c>
    </row>
    <row r="1297" customFormat="false" ht="15" hidden="false" customHeight="false" outlineLevel="0" collapsed="false">
      <c r="A1297" s="2" t="s">
        <v>26</v>
      </c>
      <c r="B1297" s="2" t="n">
        <v>1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66.7</v>
      </c>
      <c r="K1297" s="2" t="s">
        <v>23</v>
      </c>
      <c r="L1297" s="2" t="s">
        <v>16</v>
      </c>
      <c r="M1297" s="2" t="s">
        <v>20</v>
      </c>
      <c r="N1297" s="2" t="n">
        <v>0</v>
      </c>
    </row>
    <row r="1298" customFormat="false" ht="15" hidden="false" customHeight="false" outlineLevel="0" collapsed="false">
      <c r="A1298" s="2" t="s">
        <v>26</v>
      </c>
      <c r="B1298" s="2" t="n">
        <v>1</v>
      </c>
      <c r="C1298" s="2" t="n">
        <v>1</v>
      </c>
      <c r="D1298" s="2" t="n">
        <v>1</v>
      </c>
      <c r="E1298" s="2" t="n">
        <v>1</v>
      </c>
      <c r="F1298" s="2" t="n">
        <v>1496.09</v>
      </c>
      <c r="G1298" s="2" t="n">
        <v>0</v>
      </c>
      <c r="H1298" s="2" t="n">
        <v>0</v>
      </c>
      <c r="I1298" s="2" t="n">
        <v>60.4</v>
      </c>
      <c r="J1298" s="2" t="n">
        <v>7</v>
      </c>
      <c r="K1298" s="2" t="s">
        <v>23</v>
      </c>
      <c r="L1298" s="2" t="s">
        <v>16</v>
      </c>
      <c r="M1298" s="2" t="s">
        <v>22</v>
      </c>
      <c r="N1298" s="2" t="n">
        <v>0</v>
      </c>
    </row>
    <row r="1299" customFormat="false" ht="15" hidden="false" customHeight="false" outlineLevel="0" collapsed="false">
      <c r="A1299" s="2" t="s">
        <v>26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1</v>
      </c>
      <c r="H1299" s="2" t="n">
        <v>0</v>
      </c>
      <c r="I1299" s="2" t="n">
        <v>72.9</v>
      </c>
      <c r="K1299" s="2" t="s">
        <v>15</v>
      </c>
      <c r="L1299" s="2" t="s">
        <v>19</v>
      </c>
      <c r="M1299" s="2" t="s">
        <v>20</v>
      </c>
      <c r="N1299" s="2" t="n">
        <v>1</v>
      </c>
    </row>
    <row r="1300" customFormat="false" ht="15" hidden="false" customHeight="false" outlineLevel="0" collapsed="false">
      <c r="A1300" s="2" t="s">
        <v>26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1</v>
      </c>
      <c r="H1300" s="2" t="n">
        <v>0</v>
      </c>
      <c r="K1300" s="2" t="s">
        <v>18</v>
      </c>
      <c r="L1300" s="2" t="s">
        <v>19</v>
      </c>
      <c r="M1300" s="2" t="s">
        <v>20</v>
      </c>
      <c r="N1300" s="2" t="n">
        <v>3</v>
      </c>
    </row>
    <row r="1301" customFormat="false" ht="15" hidden="false" customHeight="false" outlineLevel="0" collapsed="false">
      <c r="A1301" s="2" t="s">
        <v>26</v>
      </c>
      <c r="B1301" s="2" t="n">
        <v>1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55.2</v>
      </c>
      <c r="K1301" s="2" t="s">
        <v>23</v>
      </c>
      <c r="L1301" s="2" t="s">
        <v>19</v>
      </c>
      <c r="M1301" s="2" t="s">
        <v>22</v>
      </c>
      <c r="N1301" s="2" t="n">
        <v>0</v>
      </c>
    </row>
    <row r="1302" customFormat="false" ht="15" hidden="false" customHeight="false" outlineLevel="0" collapsed="false">
      <c r="A1302" s="2" t="s">
        <v>26</v>
      </c>
      <c r="B1302" s="2" t="n">
        <v>1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67.8</v>
      </c>
      <c r="K1302" s="2" t="s">
        <v>18</v>
      </c>
      <c r="L1302" s="2" t="s">
        <v>19</v>
      </c>
      <c r="M1302" s="2" t="s">
        <v>20</v>
      </c>
      <c r="N1302" s="2" t="n">
        <v>0</v>
      </c>
    </row>
    <row r="1303" customFormat="false" ht="15" hidden="false" customHeight="false" outlineLevel="0" collapsed="false">
      <c r="A1303" s="2" t="s">
        <v>26</v>
      </c>
      <c r="B1303" s="2" t="n">
        <v>1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1</v>
      </c>
      <c r="H1303" s="2" t="n">
        <v>0</v>
      </c>
      <c r="I1303" s="2" t="n">
        <v>70</v>
      </c>
      <c r="K1303" s="2" t="s">
        <v>15</v>
      </c>
      <c r="L1303" s="2" t="s">
        <v>19</v>
      </c>
      <c r="M1303" s="2" t="s">
        <v>20</v>
      </c>
      <c r="N1303" s="2" t="n">
        <v>2</v>
      </c>
    </row>
    <row r="1304" customFormat="false" ht="15" hidden="false" customHeight="false" outlineLevel="0" collapsed="false">
      <c r="A1304" s="2" t="s">
        <v>26</v>
      </c>
      <c r="B1304" s="2" t="n">
        <v>1</v>
      </c>
      <c r="C1304" s="2" t="n">
        <v>1</v>
      </c>
      <c r="D1304" s="2" t="n">
        <v>1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51.1</v>
      </c>
      <c r="K1304" s="2" t="s">
        <v>15</v>
      </c>
      <c r="L1304" s="2" t="s">
        <v>19</v>
      </c>
      <c r="M1304" s="2" t="s">
        <v>17</v>
      </c>
      <c r="N1304" s="2" t="n">
        <v>0</v>
      </c>
    </row>
    <row r="1305" customFormat="false" ht="15" hidden="false" customHeight="false" outlineLevel="0" collapsed="false">
      <c r="A1305" s="2" t="s">
        <v>26</v>
      </c>
      <c r="B1305" s="2" t="n">
        <v>1</v>
      </c>
      <c r="C1305" s="2" t="n">
        <v>1</v>
      </c>
      <c r="D1305" s="2" t="n">
        <v>1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57</v>
      </c>
      <c r="K1305" s="2" t="s">
        <v>18</v>
      </c>
      <c r="L1305" s="2" t="s">
        <v>19</v>
      </c>
      <c r="M1305" s="2" t="s">
        <v>17</v>
      </c>
      <c r="N1305" s="2" t="n">
        <v>0</v>
      </c>
    </row>
    <row r="1306" customFormat="false" ht="15" hidden="false" customHeight="false" outlineLevel="0" collapsed="false">
      <c r="A1306" s="2" t="s">
        <v>26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1</v>
      </c>
      <c r="H1306" s="2" t="n">
        <v>0</v>
      </c>
      <c r="I1306" s="2" t="n">
        <v>47.1</v>
      </c>
      <c r="K1306" s="2" t="s">
        <v>21</v>
      </c>
      <c r="L1306" s="2" t="s">
        <v>19</v>
      </c>
      <c r="M1306" s="2" t="s">
        <v>20</v>
      </c>
      <c r="N1306" s="2" t="n">
        <v>1</v>
      </c>
    </row>
    <row r="1307" customFormat="false" ht="15" hidden="false" customHeight="false" outlineLevel="0" collapsed="false">
      <c r="A1307" s="2" t="s">
        <v>26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30.7</v>
      </c>
      <c r="K1307" s="2" t="s">
        <v>21</v>
      </c>
      <c r="L1307" s="2" t="s">
        <v>16</v>
      </c>
      <c r="M1307" s="2" t="s">
        <v>17</v>
      </c>
      <c r="N1307" s="2" t="n">
        <v>0</v>
      </c>
    </row>
    <row r="1308" customFormat="false" ht="15" hidden="false" customHeight="false" outlineLevel="0" collapsed="false">
      <c r="A1308" s="2" t="s">
        <v>26</v>
      </c>
      <c r="B1308" s="2" t="n">
        <v>1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57.3</v>
      </c>
      <c r="K1308" s="2" t="s">
        <v>18</v>
      </c>
      <c r="L1308" s="2" t="s">
        <v>16</v>
      </c>
      <c r="M1308" s="2" t="s">
        <v>20</v>
      </c>
      <c r="N1308" s="2" t="n">
        <v>0</v>
      </c>
    </row>
    <row r="1309" customFormat="false" ht="15" hidden="false" customHeight="false" outlineLevel="0" collapsed="false">
      <c r="A1309" s="2" t="s">
        <v>26</v>
      </c>
      <c r="B1309" s="2" t="n">
        <v>1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70</v>
      </c>
      <c r="K1309" s="2" t="s">
        <v>18</v>
      </c>
      <c r="L1309" s="2" t="s">
        <v>24</v>
      </c>
      <c r="M1309" s="2" t="s">
        <v>17</v>
      </c>
      <c r="N1309" s="2" t="n">
        <v>0</v>
      </c>
    </row>
    <row r="1310" customFormat="false" ht="15" hidden="false" customHeight="false" outlineLevel="0" collapsed="false">
      <c r="A1310" s="2" t="s">
        <v>26</v>
      </c>
      <c r="B1310" s="2" t="n">
        <v>1</v>
      </c>
      <c r="C1310" s="2" t="n">
        <v>1</v>
      </c>
      <c r="D1310" s="2" t="n">
        <v>1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59.7</v>
      </c>
      <c r="K1310" s="2" t="s">
        <v>21</v>
      </c>
      <c r="L1310" s="2" t="s">
        <v>16</v>
      </c>
      <c r="M1310" s="2" t="s">
        <v>20</v>
      </c>
      <c r="N1310" s="2" t="n">
        <v>0</v>
      </c>
    </row>
    <row r="1311" customFormat="false" ht="15" hidden="false" customHeight="false" outlineLevel="0" collapsed="false">
      <c r="A1311" s="2" t="s">
        <v>26</v>
      </c>
      <c r="B1311" s="2" t="n">
        <v>1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68.8</v>
      </c>
      <c r="K1311" s="2" t="s">
        <v>21</v>
      </c>
      <c r="L1311" s="2" t="s">
        <v>16</v>
      </c>
      <c r="M1311" s="2" t="s">
        <v>17</v>
      </c>
      <c r="N1311" s="2" t="n">
        <v>0</v>
      </c>
    </row>
    <row r="1312" customFormat="false" ht="15" hidden="false" customHeight="false" outlineLevel="0" collapsed="false">
      <c r="A1312" s="2" t="s">
        <v>26</v>
      </c>
      <c r="B1312" s="2" t="n">
        <v>1</v>
      </c>
      <c r="C1312" s="2" t="n">
        <v>1</v>
      </c>
      <c r="D1312" s="2" t="n">
        <v>1</v>
      </c>
      <c r="E1312" s="2" t="n">
        <v>1</v>
      </c>
      <c r="F1312" s="2" t="n">
        <v>428.37</v>
      </c>
      <c r="G1312" s="2" t="n">
        <v>0</v>
      </c>
      <c r="H1312" s="2" t="n">
        <v>0</v>
      </c>
      <c r="I1312" s="2" t="n">
        <v>88.3</v>
      </c>
      <c r="J1312" s="2" t="n">
        <v>9</v>
      </c>
      <c r="K1312" s="2" t="s">
        <v>15</v>
      </c>
      <c r="L1312" s="2" t="s">
        <v>16</v>
      </c>
      <c r="M1312" s="2" t="s">
        <v>20</v>
      </c>
      <c r="N1312" s="2" t="n">
        <v>0</v>
      </c>
    </row>
    <row r="1313" customFormat="false" ht="15" hidden="false" customHeight="false" outlineLevel="0" collapsed="false">
      <c r="A1313" s="2" t="s">
        <v>26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83.4</v>
      </c>
      <c r="K1313" s="2" t="s">
        <v>18</v>
      </c>
      <c r="L1313" s="2" t="s">
        <v>16</v>
      </c>
      <c r="M1313" s="2" t="s">
        <v>17</v>
      </c>
      <c r="N1313" s="2" t="n">
        <v>0</v>
      </c>
    </row>
    <row r="1314" customFormat="false" ht="15" hidden="false" customHeight="false" outlineLevel="0" collapsed="false">
      <c r="A1314" s="2" t="s">
        <v>26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1</v>
      </c>
      <c r="H1314" s="2" t="n">
        <v>0</v>
      </c>
      <c r="I1314" s="2" t="n">
        <v>81.6</v>
      </c>
      <c r="K1314" s="2" t="s">
        <v>23</v>
      </c>
      <c r="L1314" s="2" t="s">
        <v>19</v>
      </c>
      <c r="M1314" s="2" t="s">
        <v>20</v>
      </c>
      <c r="N1314" s="2" t="n">
        <v>1</v>
      </c>
    </row>
    <row r="1315" customFormat="false" ht="15" hidden="false" customHeight="false" outlineLevel="0" collapsed="false">
      <c r="A1315" s="2" t="s">
        <v>26</v>
      </c>
      <c r="B1315" s="2" t="n">
        <v>1</v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91.6</v>
      </c>
      <c r="K1315" s="2" t="s">
        <v>21</v>
      </c>
      <c r="L1315" s="2" t="s">
        <v>24</v>
      </c>
      <c r="M1315" s="2" t="s">
        <v>22</v>
      </c>
      <c r="N1315" s="2" t="n">
        <v>0</v>
      </c>
    </row>
    <row r="1316" customFormat="false" ht="15" hidden="false" customHeight="false" outlineLevel="0" collapsed="false">
      <c r="A1316" s="2" t="s">
        <v>26</v>
      </c>
      <c r="B1316" s="2" t="n">
        <v>1</v>
      </c>
      <c r="C1316" s="2" t="n">
        <v>1</v>
      </c>
      <c r="D1316" s="2" t="n">
        <v>1</v>
      </c>
      <c r="E1316" s="2" t="n">
        <v>0</v>
      </c>
      <c r="F1316" s="2" t="n">
        <v>0</v>
      </c>
      <c r="G1316" s="2" t="n">
        <v>1</v>
      </c>
      <c r="H1316" s="2" t="n">
        <v>0</v>
      </c>
      <c r="I1316" s="2" t="n">
        <v>61.5</v>
      </c>
      <c r="K1316" s="2" t="s">
        <v>21</v>
      </c>
      <c r="L1316" s="2" t="s">
        <v>24</v>
      </c>
      <c r="M1316" s="2" t="s">
        <v>22</v>
      </c>
      <c r="N1316" s="2" t="n">
        <v>1</v>
      </c>
    </row>
    <row r="1317" customFormat="false" ht="15" hidden="false" customHeight="false" outlineLevel="0" collapsed="false">
      <c r="A1317" s="2" t="s">
        <v>26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K1317" s="2" t="s">
        <v>15</v>
      </c>
      <c r="L1317" s="2" t="s">
        <v>19</v>
      </c>
      <c r="M1317" s="2" t="s">
        <v>22</v>
      </c>
      <c r="N1317" s="2" t="n">
        <v>0</v>
      </c>
    </row>
    <row r="1318" customFormat="false" ht="15" hidden="false" customHeight="false" outlineLevel="0" collapsed="false">
      <c r="A1318" s="2" t="s">
        <v>26</v>
      </c>
      <c r="B1318" s="2" t="n">
        <v>1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32.6</v>
      </c>
      <c r="K1318" s="2" t="s">
        <v>23</v>
      </c>
      <c r="L1318" s="2" t="s">
        <v>19</v>
      </c>
      <c r="M1318" s="2" t="s">
        <v>20</v>
      </c>
      <c r="N1318" s="2" t="n">
        <v>0</v>
      </c>
    </row>
    <row r="1319" customFormat="false" ht="15" hidden="false" customHeight="false" outlineLevel="0" collapsed="false">
      <c r="A1319" s="2" t="s">
        <v>26</v>
      </c>
      <c r="B1319" s="2" t="n">
        <v>1</v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73.9</v>
      </c>
      <c r="K1319" s="2" t="s">
        <v>23</v>
      </c>
      <c r="L1319" s="2" t="s">
        <v>19</v>
      </c>
      <c r="M1319" s="2" t="s">
        <v>20</v>
      </c>
      <c r="N1319" s="2" t="n">
        <v>0</v>
      </c>
    </row>
    <row r="1320" customFormat="false" ht="15" hidden="false" customHeight="false" outlineLevel="0" collapsed="false">
      <c r="A1320" s="2" t="s">
        <v>26</v>
      </c>
      <c r="B1320" s="2" t="n">
        <v>1</v>
      </c>
      <c r="C1320" s="2" t="n">
        <v>1</v>
      </c>
      <c r="D1320" s="2" t="n">
        <v>1</v>
      </c>
      <c r="E1320" s="2" t="n">
        <v>1</v>
      </c>
      <c r="F1320" s="2" t="n">
        <v>444.06</v>
      </c>
      <c r="G1320" s="2" t="n">
        <v>0</v>
      </c>
      <c r="H1320" s="2" t="n">
        <v>0</v>
      </c>
      <c r="I1320" s="2" t="n">
        <v>99.9</v>
      </c>
      <c r="J1320" s="2" t="n">
        <v>9</v>
      </c>
      <c r="K1320" s="2" t="s">
        <v>21</v>
      </c>
      <c r="L1320" s="2" t="s">
        <v>19</v>
      </c>
      <c r="M1320" s="2" t="s">
        <v>20</v>
      </c>
      <c r="N1320" s="2" t="n">
        <v>0</v>
      </c>
    </row>
    <row r="1321" customFormat="false" ht="15" hidden="false" customHeight="false" outlineLevel="0" collapsed="false">
      <c r="A1321" s="2" t="s">
        <v>26</v>
      </c>
      <c r="B1321" s="2" t="n">
        <v>1</v>
      </c>
      <c r="C1321" s="2" t="n">
        <v>1</v>
      </c>
      <c r="D1321" s="2" t="n">
        <v>0</v>
      </c>
      <c r="E1321" s="2" t="n">
        <v>0</v>
      </c>
      <c r="F1321" s="2" t="n">
        <v>0</v>
      </c>
      <c r="G1321" s="2" t="n">
        <v>1</v>
      </c>
      <c r="H1321" s="2" t="n">
        <v>0</v>
      </c>
      <c r="I1321" s="2" t="n">
        <v>62.4</v>
      </c>
      <c r="K1321" s="2" t="s">
        <v>23</v>
      </c>
      <c r="L1321" s="2" t="s">
        <v>19</v>
      </c>
      <c r="M1321" s="2" t="s">
        <v>17</v>
      </c>
      <c r="N1321" s="2" t="n">
        <v>1</v>
      </c>
    </row>
    <row r="1322" customFormat="false" ht="15" hidden="false" customHeight="false" outlineLevel="0" collapsed="false">
      <c r="A1322" s="2" t="s">
        <v>26</v>
      </c>
      <c r="B1322" s="2" t="n">
        <v>1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46.1</v>
      </c>
      <c r="K1322" s="2" t="s">
        <v>23</v>
      </c>
      <c r="L1322" s="2" t="s">
        <v>16</v>
      </c>
      <c r="M1322" s="2" t="s">
        <v>17</v>
      </c>
      <c r="N1322" s="2" t="n">
        <v>0</v>
      </c>
    </row>
    <row r="1323" customFormat="false" ht="15" hidden="false" customHeight="false" outlineLevel="0" collapsed="false">
      <c r="A1323" s="2" t="s">
        <v>26</v>
      </c>
      <c r="B1323" s="2" t="n">
        <v>1</v>
      </c>
      <c r="C1323" s="2" t="n">
        <v>1</v>
      </c>
      <c r="D1323" s="2" t="n">
        <v>1</v>
      </c>
      <c r="E1323" s="2" t="n">
        <v>1</v>
      </c>
      <c r="F1323" s="2" t="n">
        <v>2660.21</v>
      </c>
      <c r="G1323" s="2" t="n">
        <v>0</v>
      </c>
      <c r="H1323" s="2" t="n">
        <v>0</v>
      </c>
      <c r="I1323" s="2" t="n">
        <v>73.9</v>
      </c>
      <c r="J1323" s="2" t="n">
        <v>3</v>
      </c>
      <c r="K1323" s="2" t="s">
        <v>18</v>
      </c>
      <c r="L1323" s="2" t="s">
        <v>19</v>
      </c>
      <c r="M1323" s="2" t="s">
        <v>20</v>
      </c>
      <c r="N1323" s="2" t="n">
        <v>0</v>
      </c>
    </row>
    <row r="1324" customFormat="false" ht="15" hidden="false" customHeight="false" outlineLevel="0" collapsed="false">
      <c r="A1324" s="2" t="s">
        <v>26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90</v>
      </c>
      <c r="K1324" s="2" t="s">
        <v>15</v>
      </c>
      <c r="L1324" s="2" t="s">
        <v>19</v>
      </c>
      <c r="M1324" s="2" t="s">
        <v>22</v>
      </c>
      <c r="N1324" s="2" t="n">
        <v>0</v>
      </c>
    </row>
    <row r="1325" customFormat="false" ht="15" hidden="false" customHeight="false" outlineLevel="0" collapsed="false">
      <c r="A1325" s="2" t="s">
        <v>26</v>
      </c>
      <c r="B1325" s="2" t="n">
        <v>1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1</v>
      </c>
      <c r="H1325" s="2" t="n">
        <v>0</v>
      </c>
      <c r="I1325" s="2" t="n">
        <v>68.8</v>
      </c>
      <c r="K1325" s="2" t="s">
        <v>23</v>
      </c>
      <c r="L1325" s="2" t="s">
        <v>19</v>
      </c>
      <c r="M1325" s="2" t="s">
        <v>17</v>
      </c>
      <c r="N1325" s="2" t="n">
        <v>1</v>
      </c>
    </row>
    <row r="1326" customFormat="false" ht="15" hidden="false" customHeight="false" outlineLevel="0" collapsed="false">
      <c r="A1326" s="2" t="s">
        <v>26</v>
      </c>
      <c r="B1326" s="2" t="n">
        <v>1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66.6</v>
      </c>
      <c r="K1326" s="2" t="s">
        <v>18</v>
      </c>
      <c r="L1326" s="2" t="s">
        <v>19</v>
      </c>
      <c r="M1326" s="2" t="s">
        <v>20</v>
      </c>
      <c r="N1326" s="2" t="n">
        <v>0</v>
      </c>
    </row>
    <row r="1327" customFormat="false" ht="15" hidden="false" customHeight="false" outlineLevel="0" collapsed="false">
      <c r="A1327" s="2" t="s">
        <v>26</v>
      </c>
      <c r="B1327" s="2" t="n">
        <v>1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49.7</v>
      </c>
      <c r="K1327" s="2" t="s">
        <v>15</v>
      </c>
      <c r="L1327" s="2" t="s">
        <v>19</v>
      </c>
      <c r="M1327" s="2" t="s">
        <v>22</v>
      </c>
      <c r="N1327" s="2" t="n">
        <v>0</v>
      </c>
    </row>
    <row r="1328" customFormat="false" ht="15" hidden="false" customHeight="false" outlineLevel="0" collapsed="false">
      <c r="A1328" s="2" t="s">
        <v>26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67.9</v>
      </c>
      <c r="K1328" s="2" t="s">
        <v>23</v>
      </c>
      <c r="L1328" s="2" t="s">
        <v>19</v>
      </c>
      <c r="M1328" s="2" t="s">
        <v>17</v>
      </c>
      <c r="N1328" s="2" t="n">
        <v>0</v>
      </c>
    </row>
    <row r="1329" customFormat="false" ht="15" hidden="false" customHeight="false" outlineLevel="0" collapsed="false">
      <c r="A1329" s="2" t="s">
        <v>26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66.9</v>
      </c>
      <c r="K1329" s="2" t="s">
        <v>18</v>
      </c>
      <c r="L1329" s="2" t="s">
        <v>19</v>
      </c>
      <c r="M1329" s="2" t="s">
        <v>17</v>
      </c>
      <c r="N1329" s="2" t="n">
        <v>0</v>
      </c>
    </row>
    <row r="1330" customFormat="false" ht="15" hidden="false" customHeight="false" outlineLevel="0" collapsed="false">
      <c r="A1330" s="2" t="s">
        <v>26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46.1</v>
      </c>
      <c r="K1330" s="2" t="s">
        <v>21</v>
      </c>
      <c r="L1330" s="2" t="s">
        <v>19</v>
      </c>
      <c r="M1330" s="2" t="s">
        <v>20</v>
      </c>
      <c r="N1330" s="2" t="n">
        <v>0</v>
      </c>
    </row>
    <row r="1331" customFormat="false" ht="15" hidden="false" customHeight="false" outlineLevel="0" collapsed="false">
      <c r="A1331" s="2" t="s">
        <v>26</v>
      </c>
      <c r="B1331" s="2" t="n">
        <v>1</v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85.6</v>
      </c>
      <c r="K1331" s="2" t="s">
        <v>18</v>
      </c>
      <c r="L1331" s="2" t="s">
        <v>16</v>
      </c>
      <c r="M1331" s="2" t="s">
        <v>22</v>
      </c>
      <c r="N1331" s="2" t="n">
        <v>0</v>
      </c>
    </row>
    <row r="1332" customFormat="false" ht="15" hidden="false" customHeight="false" outlineLevel="0" collapsed="false">
      <c r="A1332" s="2" t="s">
        <v>26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39.6</v>
      </c>
      <c r="K1332" s="2" t="s">
        <v>23</v>
      </c>
      <c r="L1332" s="2" t="s">
        <v>24</v>
      </c>
      <c r="M1332" s="2" t="s">
        <v>20</v>
      </c>
      <c r="N1332" s="2" t="n">
        <v>0</v>
      </c>
    </row>
    <row r="1333" customFormat="false" ht="15" hidden="false" customHeight="false" outlineLevel="0" collapsed="false">
      <c r="A1333" s="2" t="s">
        <v>26</v>
      </c>
      <c r="B1333" s="2" t="n">
        <v>1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52.5</v>
      </c>
      <c r="K1333" s="2" t="s">
        <v>23</v>
      </c>
      <c r="L1333" s="2" t="s">
        <v>19</v>
      </c>
      <c r="M1333" s="2" t="s">
        <v>17</v>
      </c>
      <c r="N1333" s="2" t="n">
        <v>0</v>
      </c>
    </row>
    <row r="1334" customFormat="false" ht="15" hidden="false" customHeight="false" outlineLevel="0" collapsed="false">
      <c r="A1334" s="2" t="s">
        <v>26</v>
      </c>
      <c r="B1334" s="2" t="n">
        <v>1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73.5</v>
      </c>
      <c r="K1334" s="2" t="s">
        <v>21</v>
      </c>
      <c r="L1334" s="2" t="s">
        <v>19</v>
      </c>
      <c r="M1334" s="2" t="s">
        <v>22</v>
      </c>
      <c r="N1334" s="2" t="n">
        <v>0</v>
      </c>
    </row>
    <row r="1335" customFormat="false" ht="15" hidden="false" customHeight="false" outlineLevel="0" collapsed="false">
      <c r="A1335" s="2" t="s">
        <v>26</v>
      </c>
      <c r="B1335" s="2" t="n">
        <v>0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62.5</v>
      </c>
      <c r="K1335" s="2" t="s">
        <v>18</v>
      </c>
      <c r="L1335" s="2" t="s">
        <v>16</v>
      </c>
      <c r="M1335" s="2" t="s">
        <v>20</v>
      </c>
      <c r="N1335" s="2" t="n">
        <v>0</v>
      </c>
    </row>
    <row r="1336" customFormat="false" ht="15" hidden="false" customHeight="false" outlineLevel="0" collapsed="false">
      <c r="A1336" s="2" t="s">
        <v>26</v>
      </c>
      <c r="B1336" s="2" t="n">
        <v>1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76.9</v>
      </c>
      <c r="K1336" s="2" t="s">
        <v>23</v>
      </c>
      <c r="L1336" s="2" t="s">
        <v>25</v>
      </c>
      <c r="M1336" s="2" t="s">
        <v>20</v>
      </c>
      <c r="N1336" s="2" t="n">
        <v>0</v>
      </c>
    </row>
    <row r="1337" customFormat="false" ht="15" hidden="false" customHeight="false" outlineLevel="0" collapsed="false">
      <c r="A1337" s="2" t="s">
        <v>26</v>
      </c>
      <c r="B1337" s="2" t="n">
        <v>1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51.4</v>
      </c>
      <c r="K1337" s="2" t="s">
        <v>23</v>
      </c>
      <c r="L1337" s="2" t="s">
        <v>19</v>
      </c>
      <c r="M1337" s="2" t="s">
        <v>20</v>
      </c>
      <c r="N1337" s="2" t="n">
        <v>0</v>
      </c>
    </row>
    <row r="1338" customFormat="false" ht="15" hidden="false" customHeight="false" outlineLevel="0" collapsed="false">
      <c r="A1338" s="2" t="s">
        <v>26</v>
      </c>
      <c r="B1338" s="2" t="n">
        <v>1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59.3</v>
      </c>
      <c r="K1338" s="2" t="s">
        <v>18</v>
      </c>
      <c r="L1338" s="2" t="s">
        <v>19</v>
      </c>
      <c r="M1338" s="2" t="s">
        <v>17</v>
      </c>
      <c r="N1338" s="2" t="n">
        <v>0</v>
      </c>
    </row>
    <row r="1339" customFormat="false" ht="15" hidden="false" customHeight="false" outlineLevel="0" collapsed="false">
      <c r="A1339" s="2" t="s">
        <v>26</v>
      </c>
      <c r="B1339" s="2" t="n">
        <v>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74.9</v>
      </c>
      <c r="K1339" s="2" t="s">
        <v>15</v>
      </c>
      <c r="L1339" s="2" t="s">
        <v>19</v>
      </c>
      <c r="M1339" s="2" t="s">
        <v>17</v>
      </c>
      <c r="N1339" s="2" t="n">
        <v>0</v>
      </c>
    </row>
    <row r="1340" customFormat="false" ht="15" hidden="false" customHeight="false" outlineLevel="0" collapsed="false">
      <c r="A1340" s="2" t="s">
        <v>26</v>
      </c>
      <c r="B1340" s="2" t="n">
        <v>1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67</v>
      </c>
      <c r="K1340" s="2" t="s">
        <v>18</v>
      </c>
      <c r="L1340" s="2" t="s">
        <v>16</v>
      </c>
      <c r="M1340" s="2" t="s">
        <v>20</v>
      </c>
      <c r="N1340" s="2" t="n">
        <v>0</v>
      </c>
    </row>
    <row r="1341" customFormat="false" ht="15" hidden="false" customHeight="false" outlineLevel="0" collapsed="false">
      <c r="A1341" s="2" t="s">
        <v>26</v>
      </c>
      <c r="B1341" s="2" t="n">
        <v>0</v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63.6</v>
      </c>
      <c r="K1341" s="2" t="s">
        <v>23</v>
      </c>
      <c r="L1341" s="2" t="s">
        <v>19</v>
      </c>
      <c r="M1341" s="2" t="s">
        <v>20</v>
      </c>
      <c r="N1341" s="2" t="n">
        <v>0</v>
      </c>
    </row>
    <row r="1342" customFormat="false" ht="15" hidden="false" customHeight="false" outlineLevel="0" collapsed="false">
      <c r="A1342" s="2" t="s">
        <v>26</v>
      </c>
      <c r="B1342" s="2" t="n">
        <v>1</v>
      </c>
      <c r="C1342" s="2" t="n">
        <v>1</v>
      </c>
      <c r="D1342" s="2" t="n">
        <v>0</v>
      </c>
      <c r="E1342" s="2" t="n">
        <v>0</v>
      </c>
      <c r="F1342" s="2" t="n">
        <v>0</v>
      </c>
      <c r="G1342" s="2" t="n">
        <v>1</v>
      </c>
      <c r="H1342" s="2" t="n">
        <v>0</v>
      </c>
      <c r="I1342" s="2" t="n">
        <v>58.4</v>
      </c>
      <c r="K1342" s="2" t="s">
        <v>23</v>
      </c>
      <c r="L1342" s="2" t="s">
        <v>19</v>
      </c>
      <c r="M1342" s="2" t="s">
        <v>20</v>
      </c>
      <c r="N1342" s="2" t="n">
        <v>1</v>
      </c>
    </row>
    <row r="1343" customFormat="false" ht="15" hidden="false" customHeight="false" outlineLevel="0" collapsed="false">
      <c r="A1343" s="2" t="s">
        <v>26</v>
      </c>
      <c r="B1343" s="2" t="n">
        <v>1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36.8</v>
      </c>
      <c r="K1343" s="2" t="s">
        <v>15</v>
      </c>
      <c r="L1343" s="2" t="s">
        <v>16</v>
      </c>
      <c r="M1343" s="2" t="s">
        <v>20</v>
      </c>
      <c r="N1343" s="2" t="n">
        <v>0</v>
      </c>
    </row>
    <row r="1344" customFormat="false" ht="15" hidden="false" customHeight="false" outlineLevel="0" collapsed="false">
      <c r="A1344" s="2" t="s">
        <v>26</v>
      </c>
      <c r="B1344" s="2" t="n">
        <v>1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71.6</v>
      </c>
      <c r="K1344" s="2" t="s">
        <v>23</v>
      </c>
      <c r="L1344" s="2" t="s">
        <v>19</v>
      </c>
      <c r="M1344" s="2" t="s">
        <v>22</v>
      </c>
      <c r="N1344" s="2" t="n">
        <v>0</v>
      </c>
    </row>
    <row r="1345" customFormat="false" ht="15" hidden="false" customHeight="false" outlineLevel="0" collapsed="false">
      <c r="A1345" s="2" t="s">
        <v>26</v>
      </c>
      <c r="B1345" s="2" t="n">
        <v>1</v>
      </c>
      <c r="C1345" s="2" t="n">
        <v>1</v>
      </c>
      <c r="D1345" s="2" t="n">
        <v>0</v>
      </c>
      <c r="E1345" s="2" t="n">
        <v>0</v>
      </c>
      <c r="F1345" s="2" t="n">
        <v>0</v>
      </c>
      <c r="G1345" s="2" t="n">
        <v>1</v>
      </c>
      <c r="H1345" s="2" t="n">
        <v>0</v>
      </c>
      <c r="I1345" s="2" t="n">
        <v>79.7</v>
      </c>
      <c r="K1345" s="2" t="s">
        <v>23</v>
      </c>
      <c r="L1345" s="2" t="s">
        <v>19</v>
      </c>
      <c r="M1345" s="2" t="s">
        <v>17</v>
      </c>
      <c r="N1345" s="2" t="n">
        <v>1</v>
      </c>
    </row>
    <row r="1346" customFormat="false" ht="15" hidden="false" customHeight="false" outlineLevel="0" collapsed="false">
      <c r="A1346" s="2" t="s">
        <v>26</v>
      </c>
      <c r="B1346" s="2" t="n">
        <v>1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1</v>
      </c>
      <c r="H1346" s="2" t="n">
        <v>0</v>
      </c>
      <c r="I1346" s="2" t="n">
        <v>56.5</v>
      </c>
      <c r="K1346" s="2" t="s">
        <v>18</v>
      </c>
      <c r="L1346" s="2" t="s">
        <v>16</v>
      </c>
      <c r="M1346" s="2" t="s">
        <v>17</v>
      </c>
      <c r="N1346" s="2" t="n">
        <v>1</v>
      </c>
    </row>
    <row r="1347" customFormat="false" ht="15" hidden="false" customHeight="false" outlineLevel="0" collapsed="false">
      <c r="A1347" s="2" t="s">
        <v>26</v>
      </c>
      <c r="B1347" s="2" t="n">
        <v>1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44.7</v>
      </c>
      <c r="K1347" s="2" t="s">
        <v>15</v>
      </c>
      <c r="L1347" s="2" t="s">
        <v>19</v>
      </c>
      <c r="M1347" s="2" t="s">
        <v>22</v>
      </c>
      <c r="N1347" s="2" t="n">
        <v>0</v>
      </c>
    </row>
    <row r="1348" customFormat="false" ht="15" hidden="false" customHeight="false" outlineLevel="0" collapsed="false">
      <c r="A1348" s="2" t="s">
        <v>26</v>
      </c>
      <c r="B1348" s="2" t="n">
        <v>1</v>
      </c>
      <c r="C1348" s="2" t="n">
        <v>1</v>
      </c>
      <c r="D1348" s="2" t="n">
        <v>1</v>
      </c>
      <c r="E1348" s="2" t="n">
        <v>0</v>
      </c>
      <c r="F1348" s="2" t="n">
        <v>0</v>
      </c>
      <c r="G1348" s="2" t="n">
        <v>1</v>
      </c>
      <c r="H1348" s="2" t="n">
        <v>0</v>
      </c>
      <c r="I1348" s="2" t="n">
        <v>66</v>
      </c>
      <c r="K1348" s="2" t="s">
        <v>23</v>
      </c>
      <c r="L1348" s="2" t="s">
        <v>19</v>
      </c>
      <c r="M1348" s="2" t="s">
        <v>20</v>
      </c>
      <c r="N1348" s="2" t="n">
        <v>1</v>
      </c>
    </row>
    <row r="1349" customFormat="false" ht="15" hidden="false" customHeight="false" outlineLevel="0" collapsed="false">
      <c r="A1349" s="2" t="s">
        <v>26</v>
      </c>
      <c r="B1349" s="2" t="n">
        <v>1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73</v>
      </c>
      <c r="K1349" s="2" t="s">
        <v>15</v>
      </c>
      <c r="L1349" s="2" t="s">
        <v>16</v>
      </c>
      <c r="M1349" s="2" t="s">
        <v>17</v>
      </c>
      <c r="N1349" s="2" t="n">
        <v>0</v>
      </c>
    </row>
    <row r="1350" customFormat="false" ht="15" hidden="false" customHeight="false" outlineLevel="0" collapsed="false">
      <c r="A1350" s="2" t="s">
        <v>26</v>
      </c>
      <c r="B1350" s="2" t="n">
        <v>1</v>
      </c>
      <c r="C1350" s="2" t="n">
        <v>1</v>
      </c>
      <c r="D1350" s="2" t="n">
        <v>1</v>
      </c>
      <c r="E1350" s="2" t="n">
        <v>0</v>
      </c>
      <c r="F1350" s="2" t="n">
        <v>0</v>
      </c>
      <c r="G1350" s="2" t="n">
        <v>1</v>
      </c>
      <c r="H1350" s="2" t="n">
        <v>0</v>
      </c>
      <c r="I1350" s="2" t="n">
        <v>72.5</v>
      </c>
      <c r="K1350" s="2" t="s">
        <v>23</v>
      </c>
      <c r="L1350" s="2" t="s">
        <v>19</v>
      </c>
      <c r="M1350" s="2" t="s">
        <v>17</v>
      </c>
      <c r="N1350" s="2" t="n">
        <v>1</v>
      </c>
    </row>
    <row r="1351" customFormat="false" ht="15" hidden="false" customHeight="false" outlineLevel="0" collapsed="false">
      <c r="A1351" s="2" t="s">
        <v>26</v>
      </c>
      <c r="B1351" s="2" t="n">
        <v>1</v>
      </c>
      <c r="C1351" s="2" t="n">
        <v>1</v>
      </c>
      <c r="D1351" s="2" t="n">
        <v>1</v>
      </c>
      <c r="E1351" s="2" t="n">
        <v>1</v>
      </c>
      <c r="F1351" s="2" t="n">
        <v>323.6</v>
      </c>
      <c r="G1351" s="2" t="n">
        <v>0</v>
      </c>
      <c r="H1351" s="2" t="n">
        <v>0</v>
      </c>
      <c r="I1351" s="2" t="n">
        <v>100</v>
      </c>
      <c r="J1351" s="2" t="n">
        <v>6</v>
      </c>
      <c r="K1351" s="2" t="s">
        <v>23</v>
      </c>
      <c r="L1351" s="2" t="s">
        <v>16</v>
      </c>
      <c r="M1351" s="2" t="s">
        <v>20</v>
      </c>
      <c r="N1351" s="2" t="n">
        <v>0</v>
      </c>
    </row>
    <row r="1352" customFormat="false" ht="15" hidden="false" customHeight="false" outlineLevel="0" collapsed="false">
      <c r="A1352" s="2" t="s">
        <v>26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1</v>
      </c>
      <c r="H1352" s="2" t="n">
        <v>0</v>
      </c>
      <c r="I1352" s="2" t="n">
        <v>90.5</v>
      </c>
      <c r="K1352" s="2" t="s">
        <v>21</v>
      </c>
      <c r="L1352" s="2" t="s">
        <v>19</v>
      </c>
      <c r="M1352" s="2" t="s">
        <v>20</v>
      </c>
      <c r="N1352" s="2" t="n">
        <v>1</v>
      </c>
    </row>
    <row r="1353" customFormat="false" ht="15" hidden="false" customHeight="false" outlineLevel="0" collapsed="false">
      <c r="A1353" s="2" t="s">
        <v>26</v>
      </c>
      <c r="B1353" s="2" t="n">
        <v>1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70.2</v>
      </c>
      <c r="K1353" s="2" t="s">
        <v>15</v>
      </c>
      <c r="L1353" s="2" t="s">
        <v>24</v>
      </c>
      <c r="M1353" s="2" t="s">
        <v>17</v>
      </c>
      <c r="N1353" s="2" t="n">
        <v>0</v>
      </c>
    </row>
    <row r="1354" customFormat="false" ht="15" hidden="false" customHeight="false" outlineLevel="0" collapsed="false">
      <c r="A1354" s="2" t="s">
        <v>26</v>
      </c>
      <c r="B1354" s="2" t="n">
        <v>1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1</v>
      </c>
      <c r="H1354" s="2" t="n">
        <v>0</v>
      </c>
      <c r="I1354" s="2" t="n">
        <v>67.1</v>
      </c>
      <c r="K1354" s="2" t="s">
        <v>21</v>
      </c>
      <c r="L1354" s="2" t="s">
        <v>16</v>
      </c>
      <c r="M1354" s="2" t="s">
        <v>20</v>
      </c>
      <c r="N1354" s="2" t="n">
        <v>1</v>
      </c>
    </row>
    <row r="1355" customFormat="false" ht="15" hidden="false" customHeight="false" outlineLevel="0" collapsed="false">
      <c r="A1355" s="2" t="s">
        <v>26</v>
      </c>
      <c r="B1355" s="2" t="n">
        <v>0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54.5</v>
      </c>
      <c r="K1355" s="2" t="s">
        <v>21</v>
      </c>
      <c r="L1355" s="2" t="s">
        <v>19</v>
      </c>
      <c r="M1355" s="2" t="s">
        <v>20</v>
      </c>
      <c r="N1355" s="2" t="n">
        <v>0</v>
      </c>
    </row>
    <row r="1356" customFormat="false" ht="15" hidden="false" customHeight="false" outlineLevel="0" collapsed="false">
      <c r="A1356" s="2" t="s">
        <v>26</v>
      </c>
      <c r="B1356" s="2" t="n">
        <v>1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63.4</v>
      </c>
      <c r="K1356" s="2" t="s">
        <v>18</v>
      </c>
      <c r="L1356" s="2" t="s">
        <v>16</v>
      </c>
      <c r="M1356" s="2" t="s">
        <v>20</v>
      </c>
      <c r="N1356" s="2" t="n">
        <v>0</v>
      </c>
    </row>
    <row r="1357" customFormat="false" ht="15" hidden="false" customHeight="false" outlineLevel="0" collapsed="false">
      <c r="A1357" s="2" t="s">
        <v>26</v>
      </c>
      <c r="B1357" s="2" t="n">
        <v>1</v>
      </c>
      <c r="C1357" s="2" t="n">
        <v>1</v>
      </c>
      <c r="D1357" s="2" t="n">
        <v>1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84.3</v>
      </c>
      <c r="K1357" s="2" t="s">
        <v>15</v>
      </c>
      <c r="L1357" s="2" t="s">
        <v>16</v>
      </c>
      <c r="M1357" s="2" t="s">
        <v>20</v>
      </c>
      <c r="N1357" s="2" t="n">
        <v>0</v>
      </c>
    </row>
    <row r="1358" customFormat="false" ht="15" hidden="false" customHeight="false" outlineLevel="0" collapsed="false">
      <c r="A1358" s="2" t="s">
        <v>26</v>
      </c>
      <c r="B1358" s="2" t="n">
        <v>1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1</v>
      </c>
      <c r="H1358" s="2" t="n">
        <v>0</v>
      </c>
      <c r="I1358" s="2" t="n">
        <v>55</v>
      </c>
      <c r="K1358" s="2" t="s">
        <v>18</v>
      </c>
      <c r="L1358" s="2" t="s">
        <v>16</v>
      </c>
      <c r="M1358" s="2" t="s">
        <v>20</v>
      </c>
      <c r="N1358" s="2" t="n">
        <v>1</v>
      </c>
    </row>
    <row r="1359" customFormat="false" ht="15" hidden="false" customHeight="false" outlineLevel="0" collapsed="false">
      <c r="A1359" s="2" t="s">
        <v>26</v>
      </c>
      <c r="B1359" s="2" t="n">
        <v>1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63.6</v>
      </c>
      <c r="K1359" s="2" t="s">
        <v>18</v>
      </c>
      <c r="L1359" s="2" t="s">
        <v>19</v>
      </c>
      <c r="M1359" s="2" t="s">
        <v>20</v>
      </c>
      <c r="N1359" s="2" t="n">
        <v>0</v>
      </c>
    </row>
    <row r="1360" customFormat="false" ht="15" hidden="false" customHeight="false" outlineLevel="0" collapsed="false">
      <c r="A1360" s="2" t="s">
        <v>26</v>
      </c>
      <c r="B1360" s="2" t="n">
        <v>1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55.5</v>
      </c>
      <c r="K1360" s="2" t="s">
        <v>18</v>
      </c>
      <c r="L1360" s="2" t="s">
        <v>19</v>
      </c>
      <c r="M1360" s="2" t="s">
        <v>20</v>
      </c>
      <c r="N1360" s="2" t="n">
        <v>0</v>
      </c>
    </row>
    <row r="1361" customFormat="false" ht="15" hidden="false" customHeight="false" outlineLevel="0" collapsed="false">
      <c r="A1361" s="2" t="s">
        <v>26</v>
      </c>
      <c r="B1361" s="2" t="n">
        <v>0</v>
      </c>
      <c r="C1361" s="2" t="n">
        <v>0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50.5</v>
      </c>
      <c r="K1361" s="2" t="s">
        <v>23</v>
      </c>
      <c r="L1361" s="2" t="s">
        <v>19</v>
      </c>
      <c r="M1361" s="2" t="s">
        <v>17</v>
      </c>
      <c r="N1361" s="2" t="n">
        <v>0</v>
      </c>
    </row>
    <row r="1362" customFormat="false" ht="15" hidden="false" customHeight="false" outlineLevel="0" collapsed="false">
      <c r="A1362" s="2" t="s">
        <v>26</v>
      </c>
      <c r="B1362" s="2" t="n">
        <v>1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45.3</v>
      </c>
      <c r="K1362" s="2" t="s">
        <v>15</v>
      </c>
      <c r="L1362" s="2" t="s">
        <v>19</v>
      </c>
      <c r="M1362" s="2" t="s">
        <v>17</v>
      </c>
      <c r="N1362" s="2" t="n">
        <v>0</v>
      </c>
    </row>
    <row r="1363" customFormat="false" ht="15" hidden="false" customHeight="false" outlineLevel="0" collapsed="false">
      <c r="A1363" s="2" t="s">
        <v>26</v>
      </c>
      <c r="B1363" s="2" t="n">
        <v>1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33.6</v>
      </c>
      <c r="K1363" s="2" t="s">
        <v>21</v>
      </c>
      <c r="L1363" s="2" t="s">
        <v>19</v>
      </c>
      <c r="M1363" s="2" t="s">
        <v>17</v>
      </c>
      <c r="N1363" s="2" t="n">
        <v>0</v>
      </c>
    </row>
    <row r="1364" customFormat="false" ht="15" hidden="false" customHeight="false" outlineLevel="0" collapsed="false">
      <c r="A1364" s="2" t="s">
        <v>26</v>
      </c>
      <c r="B1364" s="2" t="n">
        <v>1</v>
      </c>
      <c r="C1364" s="2" t="n">
        <v>1</v>
      </c>
      <c r="D1364" s="2" t="n">
        <v>1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88.2</v>
      </c>
      <c r="K1364" s="2" t="s">
        <v>23</v>
      </c>
      <c r="L1364" s="2" t="s">
        <v>19</v>
      </c>
      <c r="M1364" s="2" t="s">
        <v>22</v>
      </c>
      <c r="N1364" s="2" t="n">
        <v>0</v>
      </c>
    </row>
    <row r="1365" customFormat="false" ht="15" hidden="false" customHeight="false" outlineLevel="0" collapsed="false">
      <c r="A1365" s="2" t="s">
        <v>26</v>
      </c>
      <c r="B1365" s="2" t="n">
        <v>1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51.8</v>
      </c>
      <c r="K1365" s="2" t="s">
        <v>15</v>
      </c>
      <c r="L1365" s="2" t="s">
        <v>19</v>
      </c>
      <c r="M1365" s="2" t="s">
        <v>22</v>
      </c>
      <c r="N1365" s="2" t="n">
        <v>0</v>
      </c>
    </row>
    <row r="1366" customFormat="false" ht="15" hidden="false" customHeight="false" outlineLevel="0" collapsed="false">
      <c r="A1366" s="2" t="s">
        <v>26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87.9</v>
      </c>
      <c r="K1366" s="2" t="s">
        <v>15</v>
      </c>
      <c r="L1366" s="2" t="s">
        <v>16</v>
      </c>
      <c r="M1366" s="2" t="s">
        <v>17</v>
      </c>
      <c r="N1366" s="2" t="n">
        <v>0</v>
      </c>
    </row>
    <row r="1367" customFormat="false" ht="15" hidden="false" customHeight="false" outlineLevel="0" collapsed="false">
      <c r="A1367" s="2" t="s">
        <v>26</v>
      </c>
      <c r="B1367" s="2" t="n">
        <v>1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1</v>
      </c>
      <c r="H1367" s="2" t="n">
        <v>0</v>
      </c>
      <c r="I1367" s="2" t="n">
        <v>70.5</v>
      </c>
      <c r="K1367" s="2" t="s">
        <v>23</v>
      </c>
      <c r="L1367" s="2" t="s">
        <v>19</v>
      </c>
      <c r="M1367" s="2" t="s">
        <v>22</v>
      </c>
      <c r="N1367" s="2" t="n">
        <v>2</v>
      </c>
    </row>
    <row r="1368" customFormat="false" ht="15" hidden="false" customHeight="false" outlineLevel="0" collapsed="false">
      <c r="A1368" s="2" t="s">
        <v>26</v>
      </c>
      <c r="B1368" s="2" t="n">
        <v>1</v>
      </c>
      <c r="C1368" s="2" t="n">
        <v>1</v>
      </c>
      <c r="D1368" s="2" t="n">
        <v>0</v>
      </c>
      <c r="E1368" s="2" t="n">
        <v>0</v>
      </c>
      <c r="F1368" s="2" t="n">
        <v>0</v>
      </c>
      <c r="G1368" s="2" t="n">
        <v>1</v>
      </c>
      <c r="H1368" s="2" t="n">
        <v>0</v>
      </c>
      <c r="I1368" s="2" t="n">
        <v>58.5</v>
      </c>
      <c r="K1368" s="2" t="s">
        <v>15</v>
      </c>
      <c r="L1368" s="2" t="s">
        <v>19</v>
      </c>
      <c r="M1368" s="2" t="s">
        <v>17</v>
      </c>
      <c r="N1368" s="2" t="n">
        <v>2</v>
      </c>
    </row>
    <row r="1369" customFormat="false" ht="15" hidden="false" customHeight="false" outlineLevel="0" collapsed="false">
      <c r="A1369" s="2" t="s">
        <v>26</v>
      </c>
      <c r="B1369" s="2" t="n">
        <v>1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65.6</v>
      </c>
      <c r="K1369" s="2" t="s">
        <v>21</v>
      </c>
      <c r="L1369" s="2" t="s">
        <v>19</v>
      </c>
      <c r="M1369" s="2" t="s">
        <v>20</v>
      </c>
      <c r="N1369" s="2" t="n">
        <v>0</v>
      </c>
    </row>
    <row r="1370" customFormat="false" ht="15" hidden="false" customHeight="false" outlineLevel="0" collapsed="false">
      <c r="A1370" s="2" t="s">
        <v>26</v>
      </c>
      <c r="B1370" s="2" t="n">
        <v>1</v>
      </c>
      <c r="C1370" s="2" t="n">
        <v>1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62.7</v>
      </c>
      <c r="K1370" s="2" t="s">
        <v>18</v>
      </c>
      <c r="L1370" s="2" t="s">
        <v>16</v>
      </c>
      <c r="M1370" s="2" t="s">
        <v>17</v>
      </c>
      <c r="N1370" s="2" t="n">
        <v>0</v>
      </c>
    </row>
    <row r="1371" customFormat="false" ht="15" hidden="false" customHeight="false" outlineLevel="0" collapsed="false">
      <c r="A1371" s="2" t="s">
        <v>26</v>
      </c>
      <c r="B1371" s="2" t="n">
        <v>0</v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1</v>
      </c>
      <c r="H1371" s="2" t="n">
        <v>0</v>
      </c>
      <c r="I1371" s="2" t="n">
        <v>50.9</v>
      </c>
      <c r="K1371" s="2" t="s">
        <v>21</v>
      </c>
      <c r="L1371" s="2" t="s">
        <v>19</v>
      </c>
      <c r="M1371" s="2" t="s">
        <v>20</v>
      </c>
      <c r="N1371" s="2" t="n">
        <v>1</v>
      </c>
    </row>
    <row r="1372" customFormat="false" ht="15" hidden="false" customHeight="false" outlineLevel="0" collapsed="false">
      <c r="A1372" s="2" t="s">
        <v>26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1</v>
      </c>
      <c r="H1372" s="2" t="n">
        <v>0</v>
      </c>
      <c r="I1372" s="2" t="n">
        <v>60.6</v>
      </c>
      <c r="K1372" s="2" t="s">
        <v>15</v>
      </c>
      <c r="L1372" s="2" t="s">
        <v>19</v>
      </c>
      <c r="M1372" s="2" t="s">
        <v>20</v>
      </c>
      <c r="N1372" s="2" t="n">
        <v>1</v>
      </c>
    </row>
    <row r="1373" customFormat="false" ht="15" hidden="false" customHeight="false" outlineLevel="0" collapsed="false">
      <c r="A1373" s="2" t="s">
        <v>26</v>
      </c>
      <c r="B1373" s="2" t="n">
        <v>1</v>
      </c>
      <c r="C1373" s="2" t="n">
        <v>1</v>
      </c>
      <c r="D1373" s="2" t="n">
        <v>1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76.6</v>
      </c>
      <c r="K1373" s="2" t="s">
        <v>21</v>
      </c>
      <c r="L1373" s="2" t="s">
        <v>16</v>
      </c>
      <c r="M1373" s="2" t="s">
        <v>20</v>
      </c>
      <c r="N1373" s="2" t="n">
        <v>0</v>
      </c>
    </row>
    <row r="1374" customFormat="false" ht="15" hidden="false" customHeight="false" outlineLevel="0" collapsed="false">
      <c r="A1374" s="2" t="s">
        <v>26</v>
      </c>
      <c r="B1374" s="2" t="n">
        <v>1</v>
      </c>
      <c r="C1374" s="2" t="n">
        <v>1</v>
      </c>
      <c r="D1374" s="2" t="n">
        <v>1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54.4</v>
      </c>
      <c r="K1374" s="2" t="s">
        <v>21</v>
      </c>
      <c r="L1374" s="2" t="s">
        <v>16</v>
      </c>
      <c r="M1374" s="2" t="s">
        <v>20</v>
      </c>
      <c r="N1374" s="2" t="n">
        <v>0</v>
      </c>
    </row>
    <row r="1375" customFormat="false" ht="15" hidden="false" customHeight="false" outlineLevel="0" collapsed="false">
      <c r="A1375" s="2" t="s">
        <v>26</v>
      </c>
      <c r="B1375" s="2" t="n">
        <v>1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31.2</v>
      </c>
      <c r="K1375" s="2" t="s">
        <v>23</v>
      </c>
      <c r="L1375" s="2" t="s">
        <v>19</v>
      </c>
      <c r="M1375" s="2" t="s">
        <v>20</v>
      </c>
      <c r="N1375" s="2" t="n">
        <v>0</v>
      </c>
    </row>
    <row r="1376" customFormat="false" ht="15" hidden="false" customHeight="false" outlineLevel="0" collapsed="false">
      <c r="A1376" s="2" t="s">
        <v>26</v>
      </c>
      <c r="B1376" s="2" t="n">
        <v>1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72.4</v>
      </c>
      <c r="K1376" s="2" t="s">
        <v>18</v>
      </c>
      <c r="L1376" s="2" t="s">
        <v>16</v>
      </c>
      <c r="M1376" s="2" t="s">
        <v>22</v>
      </c>
      <c r="N1376" s="2" t="n">
        <v>0</v>
      </c>
    </row>
    <row r="1377" customFormat="false" ht="15" hidden="false" customHeight="false" outlineLevel="0" collapsed="false">
      <c r="A1377" s="2" t="s">
        <v>26</v>
      </c>
      <c r="B1377" s="2" t="n">
        <v>1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74.5</v>
      </c>
      <c r="K1377" s="2" t="s">
        <v>15</v>
      </c>
      <c r="L1377" s="2" t="s">
        <v>19</v>
      </c>
      <c r="M1377" s="2" t="s">
        <v>22</v>
      </c>
      <c r="N1377" s="2" t="n">
        <v>0</v>
      </c>
    </row>
    <row r="1378" customFormat="false" ht="15" hidden="false" customHeight="false" outlineLevel="0" collapsed="false">
      <c r="A1378" s="2" t="s">
        <v>26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52.6</v>
      </c>
      <c r="K1378" s="2" t="s">
        <v>21</v>
      </c>
      <c r="L1378" s="2" t="s">
        <v>19</v>
      </c>
      <c r="M1378" s="2" t="s">
        <v>17</v>
      </c>
      <c r="N1378" s="2" t="n">
        <v>0</v>
      </c>
    </row>
    <row r="1379" customFormat="false" ht="15" hidden="false" customHeight="false" outlineLevel="0" collapsed="false">
      <c r="A1379" s="2" t="s">
        <v>26</v>
      </c>
      <c r="B1379" s="2" t="n">
        <v>1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75.4</v>
      </c>
      <c r="K1379" s="2" t="s">
        <v>15</v>
      </c>
      <c r="L1379" s="2" t="s">
        <v>16</v>
      </c>
      <c r="M1379" s="2" t="s">
        <v>20</v>
      </c>
      <c r="N1379" s="2" t="n">
        <v>0</v>
      </c>
    </row>
    <row r="1380" customFormat="false" ht="15" hidden="false" customHeight="false" outlineLevel="0" collapsed="false">
      <c r="A1380" s="2" t="s">
        <v>26</v>
      </c>
      <c r="B1380" s="2" t="n">
        <v>1</v>
      </c>
      <c r="C1380" s="2" t="n">
        <v>1</v>
      </c>
      <c r="D1380" s="2" t="n">
        <v>1</v>
      </c>
      <c r="E1380" s="2" t="n">
        <v>1</v>
      </c>
      <c r="F1380" s="2" t="n">
        <v>751.33</v>
      </c>
      <c r="G1380" s="2" t="n">
        <v>0</v>
      </c>
      <c r="H1380" s="2" t="n">
        <v>0</v>
      </c>
      <c r="I1380" s="2" t="n">
        <v>34</v>
      </c>
      <c r="J1380" s="2" t="n">
        <v>9</v>
      </c>
      <c r="K1380" s="2" t="s">
        <v>15</v>
      </c>
      <c r="L1380" s="2" t="s">
        <v>24</v>
      </c>
      <c r="M1380" s="2" t="s">
        <v>17</v>
      </c>
      <c r="N1380" s="2" t="n">
        <v>0</v>
      </c>
    </row>
    <row r="1381" customFormat="false" ht="15" hidden="false" customHeight="false" outlineLevel="0" collapsed="false">
      <c r="A1381" s="2" t="s">
        <v>26</v>
      </c>
      <c r="B1381" s="2" t="n">
        <v>1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67.1</v>
      </c>
      <c r="K1381" s="2" t="s">
        <v>23</v>
      </c>
      <c r="L1381" s="2" t="s">
        <v>16</v>
      </c>
      <c r="M1381" s="2" t="s">
        <v>20</v>
      </c>
      <c r="N1381" s="2" t="n">
        <v>0</v>
      </c>
    </row>
    <row r="1382" customFormat="false" ht="15" hidden="false" customHeight="false" outlineLevel="0" collapsed="false">
      <c r="A1382" s="2" t="s">
        <v>26</v>
      </c>
      <c r="B1382" s="2" t="n">
        <v>1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37.3</v>
      </c>
      <c r="K1382" s="2" t="s">
        <v>18</v>
      </c>
      <c r="L1382" s="2" t="s">
        <v>16</v>
      </c>
      <c r="M1382" s="2" t="s">
        <v>22</v>
      </c>
      <c r="N1382" s="2" t="n">
        <v>0</v>
      </c>
    </row>
    <row r="1383" customFormat="false" ht="15" hidden="false" customHeight="false" outlineLevel="0" collapsed="false">
      <c r="A1383" s="2" t="s">
        <v>26</v>
      </c>
      <c r="B1383" s="2" t="n">
        <v>1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54.7</v>
      </c>
      <c r="K1383" s="2" t="s">
        <v>18</v>
      </c>
      <c r="L1383" s="2" t="s">
        <v>19</v>
      </c>
      <c r="M1383" s="2" t="s">
        <v>20</v>
      </c>
      <c r="N1383" s="2" t="n">
        <v>0</v>
      </c>
    </row>
    <row r="1384" customFormat="false" ht="15" hidden="false" customHeight="false" outlineLevel="0" collapsed="false">
      <c r="A1384" s="2" t="s">
        <v>26</v>
      </c>
      <c r="B1384" s="2" t="n">
        <v>1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51.8</v>
      </c>
      <c r="K1384" s="2" t="s">
        <v>21</v>
      </c>
      <c r="L1384" s="2" t="s">
        <v>16</v>
      </c>
      <c r="M1384" s="2" t="s">
        <v>20</v>
      </c>
      <c r="N1384" s="2" t="n">
        <v>0</v>
      </c>
    </row>
    <row r="1385" customFormat="false" ht="15" hidden="false" customHeight="false" outlineLevel="0" collapsed="false">
      <c r="A1385" s="2" t="s">
        <v>26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49.2</v>
      </c>
      <c r="K1385" s="2" t="s">
        <v>18</v>
      </c>
      <c r="L1385" s="2" t="s">
        <v>19</v>
      </c>
      <c r="M1385" s="2" t="s">
        <v>20</v>
      </c>
      <c r="N1385" s="2" t="n">
        <v>0</v>
      </c>
    </row>
    <row r="1386" customFormat="false" ht="15" hidden="false" customHeight="false" outlineLevel="0" collapsed="false">
      <c r="A1386" s="2" t="s">
        <v>26</v>
      </c>
      <c r="B1386" s="2" t="n">
        <v>1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1</v>
      </c>
      <c r="H1386" s="2" t="n">
        <v>0</v>
      </c>
      <c r="I1386" s="2" t="n">
        <v>58.8</v>
      </c>
      <c r="K1386" s="2" t="s">
        <v>18</v>
      </c>
      <c r="L1386" s="2" t="s">
        <v>19</v>
      </c>
      <c r="M1386" s="2" t="s">
        <v>20</v>
      </c>
      <c r="N1386" s="2" t="n">
        <v>2</v>
      </c>
    </row>
    <row r="1387" customFormat="false" ht="15" hidden="false" customHeight="false" outlineLevel="0" collapsed="false">
      <c r="A1387" s="2" t="s">
        <v>26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1</v>
      </c>
      <c r="H1387" s="2" t="n">
        <v>0</v>
      </c>
      <c r="I1387" s="2" t="n">
        <v>59.1</v>
      </c>
      <c r="K1387" s="2" t="s">
        <v>15</v>
      </c>
      <c r="L1387" s="2" t="s">
        <v>24</v>
      </c>
      <c r="M1387" s="2" t="s">
        <v>17</v>
      </c>
      <c r="N1387" s="2" t="n">
        <v>1</v>
      </c>
    </row>
    <row r="1388" customFormat="false" ht="15" hidden="false" customHeight="false" outlineLevel="0" collapsed="false">
      <c r="A1388" s="2" t="s">
        <v>26</v>
      </c>
      <c r="B1388" s="2" t="n">
        <v>1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1</v>
      </c>
      <c r="H1388" s="2" t="n">
        <v>0</v>
      </c>
      <c r="I1388" s="2" t="n">
        <v>49.6</v>
      </c>
      <c r="K1388" s="2" t="s">
        <v>18</v>
      </c>
      <c r="L1388" s="2" t="s">
        <v>16</v>
      </c>
      <c r="M1388" s="2" t="s">
        <v>20</v>
      </c>
      <c r="N1388" s="2" t="n">
        <v>2</v>
      </c>
    </row>
    <row r="1389" customFormat="false" ht="15" hidden="false" customHeight="false" outlineLevel="0" collapsed="false">
      <c r="A1389" s="2" t="s">
        <v>26</v>
      </c>
      <c r="B1389" s="2" t="n">
        <v>0</v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58.2</v>
      </c>
      <c r="K1389" s="2" t="s">
        <v>15</v>
      </c>
      <c r="L1389" s="2" t="s">
        <v>19</v>
      </c>
      <c r="M1389" s="2" t="s">
        <v>20</v>
      </c>
      <c r="N1389" s="2" t="n">
        <v>0</v>
      </c>
    </row>
    <row r="1390" customFormat="false" ht="15" hidden="false" customHeight="false" outlineLevel="0" collapsed="false">
      <c r="A1390" s="2" t="s">
        <v>26</v>
      </c>
      <c r="B1390" s="2" t="n">
        <v>1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66.8</v>
      </c>
      <c r="K1390" s="2" t="s">
        <v>23</v>
      </c>
      <c r="L1390" s="2" t="s">
        <v>16</v>
      </c>
      <c r="M1390" s="2" t="s">
        <v>20</v>
      </c>
      <c r="N1390" s="2" t="n">
        <v>0</v>
      </c>
    </row>
    <row r="1391" customFormat="false" ht="15" hidden="false" customHeight="false" outlineLevel="0" collapsed="false">
      <c r="A1391" s="2" t="s">
        <v>26</v>
      </c>
      <c r="B1391" s="2" t="n">
        <v>1</v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1</v>
      </c>
      <c r="H1391" s="2" t="n">
        <v>0</v>
      </c>
      <c r="I1391" s="2" t="n">
        <v>58.3</v>
      </c>
      <c r="K1391" s="2" t="s">
        <v>15</v>
      </c>
      <c r="L1391" s="2" t="s">
        <v>19</v>
      </c>
      <c r="M1391" s="2" t="s">
        <v>20</v>
      </c>
      <c r="N1391" s="2" t="n">
        <v>3</v>
      </c>
    </row>
    <row r="1392" customFormat="false" ht="15" hidden="false" customHeight="false" outlineLevel="0" collapsed="false">
      <c r="A1392" s="2" t="s">
        <v>26</v>
      </c>
      <c r="B1392" s="2" t="n">
        <v>1</v>
      </c>
      <c r="C1392" s="2" t="n">
        <v>1</v>
      </c>
      <c r="D1392" s="2" t="n">
        <v>1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38.5</v>
      </c>
      <c r="K1392" s="2" t="s">
        <v>18</v>
      </c>
      <c r="L1392" s="2" t="s">
        <v>19</v>
      </c>
      <c r="M1392" s="2" t="s">
        <v>17</v>
      </c>
      <c r="N1392" s="2" t="n">
        <v>0</v>
      </c>
    </row>
    <row r="1393" customFormat="false" ht="15" hidden="false" customHeight="false" outlineLevel="0" collapsed="false">
      <c r="A1393" s="2" t="s">
        <v>26</v>
      </c>
      <c r="B1393" s="2" t="n">
        <v>1</v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76.9</v>
      </c>
      <c r="K1393" s="2" t="s">
        <v>21</v>
      </c>
      <c r="L1393" s="2" t="s">
        <v>19</v>
      </c>
      <c r="M1393" s="2" t="s">
        <v>20</v>
      </c>
      <c r="N1393" s="2" t="n">
        <v>0</v>
      </c>
    </row>
    <row r="1394" customFormat="false" ht="15" hidden="false" customHeight="false" outlineLevel="0" collapsed="false">
      <c r="A1394" s="2" t="s">
        <v>26</v>
      </c>
      <c r="B1394" s="2" t="n">
        <v>1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54</v>
      </c>
      <c r="K1394" s="2" t="s">
        <v>21</v>
      </c>
      <c r="L1394" s="2" t="s">
        <v>19</v>
      </c>
      <c r="M1394" s="2" t="s">
        <v>20</v>
      </c>
      <c r="N1394" s="2" t="n">
        <v>0</v>
      </c>
    </row>
    <row r="1395" customFormat="false" ht="15" hidden="false" customHeight="false" outlineLevel="0" collapsed="false">
      <c r="A1395" s="2" t="s">
        <v>26</v>
      </c>
      <c r="B1395" s="2" t="n">
        <v>1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70.6</v>
      </c>
      <c r="K1395" s="2" t="s">
        <v>21</v>
      </c>
      <c r="L1395" s="2" t="s">
        <v>24</v>
      </c>
      <c r="M1395" s="2" t="s">
        <v>20</v>
      </c>
      <c r="N1395" s="2" t="n">
        <v>0</v>
      </c>
    </row>
    <row r="1396" customFormat="false" ht="15" hidden="false" customHeight="false" outlineLevel="0" collapsed="false">
      <c r="A1396" s="2" t="s">
        <v>26</v>
      </c>
      <c r="B1396" s="2" t="n">
        <v>1</v>
      </c>
      <c r="C1396" s="2" t="n">
        <v>1</v>
      </c>
      <c r="D1396" s="2" t="n">
        <v>1</v>
      </c>
      <c r="E1396" s="2" t="n">
        <v>0</v>
      </c>
      <c r="F1396" s="2" t="n">
        <v>0</v>
      </c>
      <c r="G1396" s="2" t="n">
        <v>1</v>
      </c>
      <c r="H1396" s="2" t="n">
        <v>0</v>
      </c>
      <c r="I1396" s="2" t="n">
        <v>69.4</v>
      </c>
      <c r="K1396" s="2" t="s">
        <v>15</v>
      </c>
      <c r="L1396" s="2" t="s">
        <v>24</v>
      </c>
      <c r="M1396" s="2" t="s">
        <v>22</v>
      </c>
      <c r="N1396" s="2" t="n">
        <v>1</v>
      </c>
    </row>
    <row r="1397" customFormat="false" ht="15" hidden="false" customHeight="false" outlineLevel="0" collapsed="false">
      <c r="A1397" s="2" t="s">
        <v>26</v>
      </c>
      <c r="B1397" s="2" t="n">
        <v>1</v>
      </c>
      <c r="C1397" s="2" t="n">
        <v>1</v>
      </c>
      <c r="D1397" s="2" t="n">
        <v>1</v>
      </c>
      <c r="E1397" s="2" t="n">
        <v>1</v>
      </c>
      <c r="F1397" s="2" t="n">
        <v>1009.9</v>
      </c>
      <c r="G1397" s="2" t="n">
        <v>0</v>
      </c>
      <c r="H1397" s="2" t="n">
        <v>0</v>
      </c>
      <c r="I1397" s="2" t="n">
        <v>89.7</v>
      </c>
      <c r="J1397" s="2" t="n">
        <v>6</v>
      </c>
      <c r="K1397" s="2" t="s">
        <v>23</v>
      </c>
      <c r="L1397" s="2" t="s">
        <v>19</v>
      </c>
      <c r="M1397" s="2" t="s">
        <v>22</v>
      </c>
      <c r="N1397" s="2" t="n">
        <v>0</v>
      </c>
    </row>
    <row r="1398" customFormat="false" ht="15" hidden="false" customHeight="false" outlineLevel="0" collapsed="false">
      <c r="A1398" s="2" t="s">
        <v>26</v>
      </c>
      <c r="B1398" s="2" t="n">
        <v>1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62.4</v>
      </c>
      <c r="K1398" s="2" t="s">
        <v>18</v>
      </c>
      <c r="L1398" s="2" t="s">
        <v>19</v>
      </c>
      <c r="M1398" s="2" t="s">
        <v>20</v>
      </c>
      <c r="N1398" s="2" t="n">
        <v>0</v>
      </c>
    </row>
    <row r="1399" customFormat="false" ht="15" hidden="false" customHeight="false" outlineLevel="0" collapsed="false">
      <c r="A1399" s="2" t="s">
        <v>26</v>
      </c>
      <c r="B1399" s="2" t="n">
        <v>0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67.3</v>
      </c>
      <c r="K1399" s="2" t="s">
        <v>18</v>
      </c>
      <c r="L1399" s="2" t="s">
        <v>24</v>
      </c>
      <c r="M1399" s="2" t="s">
        <v>22</v>
      </c>
      <c r="N1399" s="2" t="n">
        <v>0</v>
      </c>
    </row>
    <row r="1400" customFormat="false" ht="15" hidden="false" customHeight="false" outlineLevel="0" collapsed="false">
      <c r="A1400" s="2" t="s">
        <v>26</v>
      </c>
      <c r="B1400" s="2" t="n">
        <v>1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54.9</v>
      </c>
      <c r="K1400" s="2" t="s">
        <v>21</v>
      </c>
      <c r="L1400" s="2" t="s">
        <v>19</v>
      </c>
      <c r="M1400" s="2" t="s">
        <v>20</v>
      </c>
      <c r="N1400" s="2" t="n">
        <v>0</v>
      </c>
    </row>
    <row r="1401" customFormat="false" ht="15" hidden="false" customHeight="false" outlineLevel="0" collapsed="false">
      <c r="A1401" s="2" t="s">
        <v>26</v>
      </c>
      <c r="B1401" s="2" t="n">
        <v>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55.7</v>
      </c>
      <c r="K1401" s="2" t="s">
        <v>21</v>
      </c>
      <c r="L1401" s="2" t="s">
        <v>16</v>
      </c>
      <c r="M1401" s="2" t="s">
        <v>20</v>
      </c>
      <c r="N140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3" t="s">
        <v>27</v>
      </c>
    </row>
    <row r="2" customFormat="false" ht="15" hidden="false" customHeight="false" outlineLevel="0" collapsed="false">
      <c r="A2" s="4" t="s">
        <v>28</v>
      </c>
    </row>
    <row r="4" customFormat="false" ht="15" hidden="false" customHeight="false" outlineLevel="0" collapsed="false">
      <c r="A4" s="5" t="s">
        <v>29</v>
      </c>
      <c r="B4" s="5" t="s">
        <v>14</v>
      </c>
      <c r="C4" s="5" t="s">
        <v>26</v>
      </c>
      <c r="D4" s="5" t="s">
        <v>30</v>
      </c>
      <c r="E4" s="5" t="s">
        <v>31</v>
      </c>
    </row>
    <row r="5" customFormat="false" ht="15" hidden="false" customHeight="false" outlineLevel="0" collapsed="false">
      <c r="A5" s="6" t="s">
        <v>32</v>
      </c>
      <c r="B5" s="7" t="n">
        <f aca="false">COUNTIFS(data!$A$2:$A$1401,"Control")</f>
        <v>690</v>
      </c>
      <c r="C5" s="7" t="n">
        <f aca="false">COUNTIFS(data!$A$2:$A$1401,"Treatment")</f>
        <v>710</v>
      </c>
      <c r="D5" s="7" t="n">
        <f aca="false">C5-B5</f>
        <v>20</v>
      </c>
      <c r="E5" s="8" t="n">
        <f aca="false">IFERROR((C5-B5)/B5,0)</f>
        <v>0.0289855072463768</v>
      </c>
    </row>
    <row r="6" customFormat="false" ht="15" hidden="false" customHeight="false" outlineLevel="0" collapsed="false">
      <c r="A6" s="6" t="s">
        <v>33</v>
      </c>
      <c r="B6" s="9" t="n">
        <f aca="false">AVERAGEIFS(data!$B$2:$B$1401,data!$A$2:$A$1401,"Control")</f>
        <v>0.636231884057971</v>
      </c>
      <c r="C6" s="9" t="n">
        <f aca="false">AVERAGEIFS(data!$B$2:$B$1401,data!$A$2:$A$1401,"Treatment")</f>
        <v>0.723943661971831</v>
      </c>
      <c r="D6" s="9" t="n">
        <f aca="false">C6-B6</f>
        <v>0.08771177791386</v>
      </c>
      <c r="E6" s="8" t="n">
        <f aca="false">IFERROR((C6-B6)/B6,0)</f>
        <v>0.137861336584427</v>
      </c>
    </row>
    <row r="7" customFormat="false" ht="15" hidden="false" customHeight="false" outlineLevel="0" collapsed="false">
      <c r="A7" s="6" t="s">
        <v>34</v>
      </c>
      <c r="B7" s="9" t="n">
        <f aca="false">AVERAGEIFS(data!$C$2:$C$1401,data!$A$2:$A$1401,"Control")</f>
        <v>0.250724637681159</v>
      </c>
      <c r="C7" s="9" t="n">
        <f aca="false">AVERAGEIFS(data!$C$2:$C$1401,data!$A$2:$A$1401,"Treatment")</f>
        <v>0.290140845070423</v>
      </c>
      <c r="D7" s="9" t="n">
        <f aca="false">C7-B7</f>
        <v>0.0394162073892631</v>
      </c>
      <c r="E7" s="8" t="n">
        <f aca="false">IFERROR((C7-B7)/B7,0)</f>
        <v>0.157209150858911</v>
      </c>
    </row>
    <row r="8" customFormat="false" ht="15" hidden="false" customHeight="false" outlineLevel="0" collapsed="false">
      <c r="A8" s="6" t="s">
        <v>35</v>
      </c>
      <c r="B8" s="9" t="n">
        <f aca="false">AVERAGEIFS(data!$D$2:$D$1401,data!$A$2:$A$1401,"Control")</f>
        <v>0.156521739130435</v>
      </c>
      <c r="C8" s="9" t="n">
        <f aca="false">AVERAGEIFS(data!$D$2:$D$1401,data!$A$2:$A$1401,"Treatment")</f>
        <v>0.211267605633803</v>
      </c>
      <c r="D8" s="9" t="n">
        <f aca="false">C8-B8</f>
        <v>0.054745866503368</v>
      </c>
      <c r="E8" s="8" t="n">
        <f aca="false">IFERROR((C8-B8)/B8,0)</f>
        <v>0.349765258215962</v>
      </c>
    </row>
    <row r="9" customFormat="false" ht="15" hidden="false" customHeight="false" outlineLevel="0" collapsed="false">
      <c r="A9" s="6" t="s">
        <v>36</v>
      </c>
      <c r="B9" s="9" t="n">
        <f aca="false">AVERAGEIFS(data!$E$2:$E$1401,data!$A$2:$A$1401,"Control")</f>
        <v>0.0318840579710145</v>
      </c>
      <c r="C9" s="9" t="n">
        <f aca="false">AVERAGEIFS(data!$E$2:$E$1401,data!$A$2:$A$1401,"Treatment")</f>
        <v>0.0704225352112676</v>
      </c>
      <c r="D9" s="9" t="n">
        <f aca="false">C9-B9</f>
        <v>0.0385384772402531</v>
      </c>
      <c r="E9" s="8" t="n">
        <f aca="false">IFERROR((C9-B9)/B9,0)</f>
        <v>1.20870678617158</v>
      </c>
    </row>
    <row r="10" customFormat="false" ht="15" hidden="false" customHeight="false" outlineLevel="0" collapsed="false">
      <c r="A10" s="6" t="s">
        <v>37</v>
      </c>
      <c r="B10" s="10" t="n">
        <f aca="false">AVERAGEIFS(data!$F$2:$F$1401,data!$A$2:$A$1401,"Control")</f>
        <v>51.9743188405797</v>
      </c>
      <c r="C10" s="10" t="n">
        <f aca="false">AVERAGEIFS(data!$F$2:$F$1401,data!$A$2:$A$1401,"Treatment")</f>
        <v>54.2545211267606</v>
      </c>
      <c r="D10" s="10" t="n">
        <f aca="false">C10-B10</f>
        <v>2.28020228618086</v>
      </c>
      <c r="E10" s="8" t="n">
        <f aca="false">IFERROR((C10-B10)/B10,0)</f>
        <v>0.0438717108188546</v>
      </c>
    </row>
    <row r="11" customFormat="false" ht="15" hidden="false" customHeight="false" outlineLevel="0" collapsed="false">
      <c r="A11" s="6" t="s">
        <v>38</v>
      </c>
      <c r="B11" s="10" t="n">
        <f aca="false">AVERAGEIFS(data!$F$2:$F$1401,data!$A$2:$A$1401,"Control",data!$E$2:$E$1401,1)</f>
        <v>1630.10363636364</v>
      </c>
      <c r="C11" s="10" t="n">
        <f aca="false">AVERAGEIFS(data!$F$2:$F$1401,data!$A$2:$A$1401,"Treatment",data!$E$2:$E$1401,1)</f>
        <v>770.4142</v>
      </c>
      <c r="D11" s="10" t="n">
        <f aca="false">C11-B11</f>
        <v>-859.689436363636</v>
      </c>
      <c r="E11" s="8" t="n">
        <f aca="false">IFERROR((C11-B11)/B11,0)</f>
        <v>-0.527383300782884</v>
      </c>
    </row>
    <row r="12" customFormat="false" ht="15" hidden="false" customHeight="false" outlineLevel="0" collapsed="false">
      <c r="A12" s="6" t="s">
        <v>39</v>
      </c>
      <c r="B12" s="11" t="n">
        <f aca="false">AVERAGEIFS(data!$H$2:$H$1401,data!$A$2:$A$1401,"Control")</f>
        <v>0</v>
      </c>
      <c r="C12" s="11" t="n">
        <f aca="false">AVERAGEIFS(data!$H$2:$H$1401,data!$A$2:$A$1401,"Treatment")</f>
        <v>0.00422535211267606</v>
      </c>
      <c r="D12" s="11" t="n">
        <f aca="false">C12-B12</f>
        <v>0.00422535211267606</v>
      </c>
      <c r="E12" s="8" t="n">
        <f aca="false">IFERROR((C12-B12)/B12,0)</f>
        <v>0</v>
      </c>
    </row>
    <row r="13" customFormat="false" ht="15" hidden="false" customHeight="false" outlineLevel="0" collapsed="false">
      <c r="A13" s="6" t="s">
        <v>40</v>
      </c>
      <c r="B13" s="9" t="n">
        <f aca="false">AVERAGEIFS(data!$G$2:$G$1401,data!$A$2:$A$1401,"Control")</f>
        <v>0.147826086956522</v>
      </c>
      <c r="C13" s="9" t="n">
        <f aca="false">AVERAGEIFS(data!$G$2:$G$1401,data!$A$2:$A$1401,"Treatment")</f>
        <v>0.247887323943662</v>
      </c>
      <c r="D13" s="9" t="n">
        <f aca="false">C13-B13</f>
        <v>0.10006123698714</v>
      </c>
      <c r="E13" s="8" t="n">
        <f aca="false">IFERROR((C13-B13)/B13,0)</f>
        <v>0.676884838442419</v>
      </c>
    </row>
    <row r="14" customFormat="false" ht="15" hidden="false" customHeight="false" outlineLevel="0" collapsed="false">
      <c r="A14" s="6" t="s">
        <v>41</v>
      </c>
      <c r="B14" s="12" t="n">
        <f aca="false">AVERAGEIFS(data!$N$2:$N$1401,data!$A$2:$A$1401,"Control")</f>
        <v>0.220289855072464</v>
      </c>
      <c r="C14" s="12" t="n">
        <f aca="false">AVERAGEIFS(data!$N$2:$N$1401,data!$A$2:$A$1401,"Treatment")</f>
        <v>0.373239436619718</v>
      </c>
      <c r="D14" s="12" t="n">
        <f aca="false">C14-B14</f>
        <v>0.152949581547255</v>
      </c>
      <c r="E14" s="8" t="n">
        <f aca="false">IFERROR((C14-B14)/B14,0)</f>
        <v>0.694310600444774</v>
      </c>
    </row>
    <row r="15" customFormat="false" ht="15" hidden="false" customHeight="false" outlineLevel="0" collapsed="false">
      <c r="A15" s="6" t="s">
        <v>42</v>
      </c>
      <c r="B15" s="13" t="n">
        <f aca="false">AVERAGEIFS(data!$I$2:$I$1401,data!$A$2:$A$1401,"Control")</f>
        <v>57.0295321637427</v>
      </c>
      <c r="C15" s="13" t="n">
        <f aca="false">AVERAGEIFS(data!$I$2:$I$1401,data!$A$2:$A$1401,"Treatment")</f>
        <v>62.9400284900285</v>
      </c>
      <c r="D15" s="13" t="n">
        <f aca="false">C15-B15</f>
        <v>5.9104963262858</v>
      </c>
      <c r="E15" s="8" t="n">
        <f aca="false">IFERROR((C15-B15)/B15,0)</f>
        <v>0.103639221681069</v>
      </c>
    </row>
    <row r="16" customFormat="false" ht="15" hidden="false" customHeight="false" outlineLevel="0" collapsed="false">
      <c r="A16" s="6" t="s">
        <v>43</v>
      </c>
      <c r="B16" s="13" t="n">
        <f aca="false">AVERAGEIFS(data!$J$2:$J$1401,data!$A$2:$A$1401,"Control",data!$E$2:$E$1401,1)</f>
        <v>8.86363636363636</v>
      </c>
      <c r="C16" s="13" t="n">
        <f aca="false">AVERAGEIFS(data!$J$2:$J$1401,data!$A$2:$A$1401,"Treatment",data!$E$2:$E$1401,1)</f>
        <v>6.4</v>
      </c>
      <c r="D16" s="13" t="n">
        <f aca="false">C16-B16</f>
        <v>-2.46363636363636</v>
      </c>
      <c r="E16" s="8" t="n">
        <f aca="false">IFERROR((C16-B16)/B16,0)</f>
        <v>-0.277948717948718</v>
      </c>
    </row>
    <row r="17" customFormat="false" ht="15" hidden="false" customHeight="false" outlineLevel="0" collapsed="false">
      <c r="A17" s="6" t="s">
        <v>44</v>
      </c>
      <c r="B17" s="7" t="n">
        <f aca="false">COUNTIFS(data!$A$2:$A$1401,"Control",data!$E$2:$E$1401,1)</f>
        <v>22</v>
      </c>
      <c r="C17" s="7" t="n">
        <f aca="false">COUNTIFS(data!$A$2:$A$1401,"Treatment",data!$E$2:$E$1401,1)</f>
        <v>50</v>
      </c>
      <c r="D17" s="7" t="n">
        <f aca="false">C17-B17</f>
        <v>28</v>
      </c>
      <c r="E17" s="8" t="n">
        <f aca="false">IFERROR((C17-B17)/B17,0)</f>
        <v>1.27272727272727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</cols>
  <sheetData>
    <row r="1" customFormat="false" ht="16.15" hidden="false" customHeight="false" outlineLevel="0" collapsed="false">
      <c r="A1" s="3" t="s">
        <v>45</v>
      </c>
    </row>
    <row r="2" customFormat="false" ht="15" hidden="false" customHeight="false" outlineLevel="0" collapsed="false">
      <c r="A2" s="4" t="s">
        <v>46</v>
      </c>
    </row>
    <row r="5" customFormat="false" ht="15" hidden="false" customHeight="false" outlineLevel="0" collapsed="false">
      <c r="A5" s="6" t="s">
        <v>47</v>
      </c>
      <c r="B5" s="7" t="n">
        <f aca="false">COUNTIFS(data!$A$2:$A$1401,"Control")</f>
        <v>690</v>
      </c>
    </row>
    <row r="6" customFormat="false" ht="15" hidden="false" customHeight="false" outlineLevel="0" collapsed="false">
      <c r="A6" s="6" t="s">
        <v>48</v>
      </c>
      <c r="B6" s="7" t="n">
        <f aca="false">COUNTIFS(data!$A$2:$A$1401,"Control",data!$E$2:$E$1401,1)</f>
        <v>22</v>
      </c>
    </row>
    <row r="7" customFormat="false" ht="15" hidden="false" customHeight="false" outlineLevel="0" collapsed="false">
      <c r="A7" s="6" t="s">
        <v>49</v>
      </c>
      <c r="B7" s="7" t="n">
        <f aca="false">COUNTIFS(data!$A$2:$A$1401,"Treatment")</f>
        <v>710</v>
      </c>
    </row>
    <row r="8" customFormat="false" ht="15" hidden="false" customHeight="false" outlineLevel="0" collapsed="false">
      <c r="A8" s="6" t="s">
        <v>50</v>
      </c>
      <c r="B8" s="7" t="n">
        <f aca="false">COUNTIFS(data!$A$2:$A$1401,"Treatment",data!$E$2:$E$1401,1)</f>
        <v>50</v>
      </c>
    </row>
    <row r="9" customFormat="false" ht="15" hidden="false" customHeight="false" outlineLevel="0" collapsed="false">
      <c r="A9" s="6" t="s">
        <v>51</v>
      </c>
      <c r="B9" s="14" t="n">
        <f aca="false">B6/B5</f>
        <v>0.0318840579710145</v>
      </c>
    </row>
    <row r="10" customFormat="false" ht="15" hidden="false" customHeight="false" outlineLevel="0" collapsed="false">
      <c r="A10" s="6" t="s">
        <v>52</v>
      </c>
      <c r="B10" s="14" t="n">
        <f aca="false">B8/B7</f>
        <v>0.0704225352112676</v>
      </c>
    </row>
    <row r="11" customFormat="false" ht="15" hidden="false" customHeight="false" outlineLevel="0" collapsed="false">
      <c r="A11" s="6" t="s">
        <v>53</v>
      </c>
      <c r="B11" s="14" t="n">
        <f aca="false">B10-B9</f>
        <v>0.0385384772402531</v>
      </c>
    </row>
    <row r="12" customFormat="false" ht="15" hidden="false" customHeight="false" outlineLevel="0" collapsed="false">
      <c r="A12" s="6" t="s">
        <v>54</v>
      </c>
      <c r="B12" s="15" t="n">
        <f aca="false">IFERROR((B10-B9)/B9,0)</f>
        <v>1.20870678617158</v>
      </c>
    </row>
    <row r="13" customFormat="false" ht="15" hidden="false" customHeight="false" outlineLevel="0" collapsed="false">
      <c r="A13" s="6" t="s">
        <v>55</v>
      </c>
      <c r="B13" s="14" t="n">
        <f aca="false">(B6+B8)/(B5+B7)</f>
        <v>0.0514285714285714</v>
      </c>
    </row>
    <row r="14" customFormat="false" ht="15" hidden="false" customHeight="false" outlineLevel="0" collapsed="false">
      <c r="A14" s="6" t="s">
        <v>56</v>
      </c>
      <c r="B14" s="16" t="n">
        <f aca="false">SQRT(B13*(1-B13)*(1/B5+1/B7))</f>
        <v>0.0118072170851242</v>
      </c>
    </row>
    <row r="15" customFormat="false" ht="15" hidden="false" customHeight="false" outlineLevel="0" collapsed="false">
      <c r="A15" s="6" t="s">
        <v>57</v>
      </c>
      <c r="B15" s="12" t="n">
        <f aca="false">(B10-B9)/B14</f>
        <v>3.26397634280878</v>
      </c>
    </row>
    <row r="16" customFormat="false" ht="15" hidden="false" customHeight="false" outlineLevel="0" collapsed="false">
      <c r="A16" s="6" t="s">
        <v>58</v>
      </c>
      <c r="B16" s="14" t="n">
        <f aca="false">2*(1-NORMSDIST(ABS(B15)))</f>
        <v>0.00109860338189316</v>
      </c>
    </row>
    <row r="17" customFormat="false" ht="15" hidden="false" customHeight="false" outlineLevel="0" collapsed="false">
      <c r="A17" s="17" t="s">
        <v>59</v>
      </c>
      <c r="B17" s="18" t="str">
        <f aca="false">IF(B16&lt;0.05,"Reject H0 — statistically significant","Fail to reject H0")</f>
        <v>Reject H0 — statistically significant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2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3" t="s">
        <v>60</v>
      </c>
    </row>
    <row r="2" customFormat="false" ht="15" hidden="false" customHeight="false" outlineLevel="0" collapsed="false">
      <c r="A2" s="4" t="s">
        <v>61</v>
      </c>
    </row>
    <row r="4" customFormat="false" ht="15" hidden="false" customHeight="false" outlineLevel="0" collapsed="false">
      <c r="A4" s="5" t="s">
        <v>62</v>
      </c>
      <c r="B4" s="5" t="s">
        <v>14</v>
      </c>
      <c r="C4" s="5" t="s">
        <v>26</v>
      </c>
      <c r="D4" s="5" t="s">
        <v>63</v>
      </c>
      <c r="E4" s="5" t="s">
        <v>64</v>
      </c>
    </row>
    <row r="5" customFormat="false" ht="15" hidden="false" customHeight="false" outlineLevel="0" collapsed="false">
      <c r="A5" s="6" t="s">
        <v>39</v>
      </c>
      <c r="B5" s="11" t="n">
        <f aca="false">AVERAGEIFS(data!$H$2:$H$1401,data!$A$2:$A$1401,"Control")</f>
        <v>0</v>
      </c>
      <c r="C5" s="11" t="n">
        <f aca="false">AVERAGEIFS(data!$H$2:$H$1401,data!$A$2:$A$1401,"Treatment")</f>
        <v>0.00422535211267606</v>
      </c>
      <c r="D5" s="11" t="n">
        <f aca="false">C5-B5</f>
        <v>0.00422535211267606</v>
      </c>
      <c r="E5" s="19" t="s">
        <v>65</v>
      </c>
    </row>
    <row r="6" customFormat="false" ht="15" hidden="false" customHeight="false" outlineLevel="0" collapsed="false">
      <c r="A6" s="6" t="s">
        <v>66</v>
      </c>
      <c r="B6" s="9" t="n">
        <f aca="false">AVERAGEIFS(data!$G$2:$G$1401,data!$A$2:$A$1401,"Control")</f>
        <v>0.147826086956522</v>
      </c>
      <c r="C6" s="9" t="n">
        <f aca="false">AVERAGEIFS(data!$G$2:$G$1401,data!$A$2:$A$1401,"Treatment")</f>
        <v>0.247887323943662</v>
      </c>
      <c r="D6" s="9" t="n">
        <f aca="false">C6-B6</f>
        <v>0.10006123698714</v>
      </c>
      <c r="E6" s="20" t="s">
        <v>67</v>
      </c>
    </row>
    <row r="7" customFormat="false" ht="15" hidden="false" customHeight="false" outlineLevel="0" collapsed="false">
      <c r="A7" s="6" t="s">
        <v>41</v>
      </c>
      <c r="B7" s="12" t="n">
        <f aca="false">AVERAGEIFS(data!$N$2:$N$1401,data!$A$2:$A$1401,"Control")</f>
        <v>0.220289855072464</v>
      </c>
      <c r="C7" s="12" t="n">
        <f aca="false">AVERAGEIFS(data!$N$2:$N$1401,data!$A$2:$A$1401,"Treatment")</f>
        <v>0.373239436619718</v>
      </c>
      <c r="D7" s="12" t="n">
        <f aca="false">C7-B7</f>
        <v>0.152949581547255</v>
      </c>
      <c r="E7" s="20" t="s">
        <v>68</v>
      </c>
    </row>
    <row r="8" customFormat="false" ht="15" hidden="false" customHeight="false" outlineLevel="0" collapsed="false">
      <c r="A8" s="6" t="s">
        <v>69</v>
      </c>
      <c r="B8" s="7" t="n">
        <f aca="false">AVERAGEIFS(data!$F$2:$F$1401,data!$A$2:$A$1401,"Control",data!$E$2:$E$1401,1)</f>
        <v>1630.10363636364</v>
      </c>
      <c r="C8" s="7" t="n">
        <f aca="false">AVERAGEIFS(data!$F$2:$F$1401,data!$A$2:$A$1401,"Treatment",data!$E$2:$E$1401,1)</f>
        <v>770.4142</v>
      </c>
      <c r="D8" s="7" t="n">
        <f aca="false">C8-B8</f>
        <v>-859.689436363636</v>
      </c>
      <c r="E8" s="21" t="s">
        <v>70</v>
      </c>
    </row>
    <row r="9" customFormat="false" ht="15" hidden="false" customHeight="false" outlineLevel="0" collapsed="false">
      <c r="A9" s="6" t="s">
        <v>43</v>
      </c>
      <c r="B9" s="13" t="n">
        <f aca="false">AVERAGEIFS(data!$J$2:$J$1401,data!$A$2:$A$1401,"Control",data!$E$2:$E$1401,1)</f>
        <v>8.86363636363636</v>
      </c>
      <c r="C9" s="13" t="n">
        <f aca="false">AVERAGEIFS(data!$J$2:$J$1401,data!$A$2:$A$1401,"Treatment",data!$E$2:$E$1401,1)</f>
        <v>6.4</v>
      </c>
      <c r="D9" s="13" t="n">
        <f aca="false">C9-B9</f>
        <v>-2.46363636363636</v>
      </c>
      <c r="E9" s="19" t="s">
        <v>71</v>
      </c>
    </row>
    <row r="10" customFormat="false" ht="15" hidden="false" customHeight="false" outlineLevel="0" collapsed="false">
      <c r="A10" s="6" t="s">
        <v>42</v>
      </c>
      <c r="B10" s="13" t="n">
        <f aca="false">AVERAGEIFS(data!$I$2:$I$1401,data!$A$2:$A$1401,"Control")</f>
        <v>57.0295321637427</v>
      </c>
      <c r="C10" s="13" t="n">
        <f aca="false">AVERAGEIFS(data!$I$2:$I$1401,data!$A$2:$A$1401,"Treatment")</f>
        <v>62.9400284900285</v>
      </c>
      <c r="D10" s="13" t="n">
        <f aca="false">C10-B10</f>
        <v>5.9104963262858</v>
      </c>
      <c r="E10" s="1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3" t="s">
        <v>73</v>
      </c>
    </row>
    <row r="3" customFormat="false" ht="15" hidden="false" customHeight="false" outlineLevel="0" collapsed="false">
      <c r="A3" s="22" t="s">
        <v>74</v>
      </c>
    </row>
    <row r="4" customFormat="false" ht="15" hidden="false" customHeight="false" outlineLevel="0" collapsed="false">
      <c r="A4" s="5" t="s">
        <v>75</v>
      </c>
      <c r="B4" s="5" t="s">
        <v>14</v>
      </c>
      <c r="C4" s="5" t="s">
        <v>26</v>
      </c>
      <c r="D4" s="5" t="s">
        <v>30</v>
      </c>
    </row>
    <row r="5" customFormat="false" ht="15" hidden="false" customHeight="false" outlineLevel="0" collapsed="false">
      <c r="A5" s="6" t="s">
        <v>15</v>
      </c>
      <c r="B5" s="9" t="n">
        <f aca="false">AVERAGEIFS(data!$E$2:$E$1401,data!$K$2:$K$1401,"North",data!$A$2:$A$1401,"Control")</f>
        <v>0.0348258706467662</v>
      </c>
      <c r="C5" s="9" t="n">
        <f aca="false">AVERAGEIFS(data!$E$2:$E$1401,data!$K$2:$K$1401,"North",data!$A$2:$A$1401,"Treatment")</f>
        <v>0.0888888888888889</v>
      </c>
      <c r="D5" s="9" t="n">
        <f aca="false">C5-B5</f>
        <v>0.0540630182421227</v>
      </c>
    </row>
    <row r="6" customFormat="false" ht="15" hidden="false" customHeight="false" outlineLevel="0" collapsed="false">
      <c r="A6" s="6" t="s">
        <v>23</v>
      </c>
      <c r="B6" s="9" t="n">
        <f aca="false">AVERAGEIFS(data!$E$2:$E$1401,data!$K$2:$K$1401,"South",data!$A$2:$A$1401,"Control")</f>
        <v>0.0326086956521739</v>
      </c>
      <c r="C6" s="9" t="n">
        <f aca="false">AVERAGEIFS(data!$E$2:$E$1401,data!$K$2:$K$1401,"South",data!$A$2:$A$1401,"Treatment")</f>
        <v>0.0765027322404372</v>
      </c>
      <c r="D6" s="9" t="n">
        <f aca="false">C6-B6</f>
        <v>0.0438940365882633</v>
      </c>
    </row>
    <row r="7" customFormat="false" ht="15" hidden="false" customHeight="false" outlineLevel="0" collapsed="false">
      <c r="A7" s="6" t="s">
        <v>21</v>
      </c>
      <c r="B7" s="9" t="n">
        <f aca="false">AVERAGEIFS(data!$E$2:$E$1401,data!$K$2:$K$1401,"East",data!$A$2:$A$1401,"Control")</f>
        <v>0.0254777070063694</v>
      </c>
      <c r="C7" s="9" t="n">
        <f aca="false">AVERAGEIFS(data!$E$2:$E$1401,data!$K$2:$K$1401,"East",data!$A$2:$A$1401,"Treatment")</f>
        <v>0.0647058823529412</v>
      </c>
      <c r="D7" s="9" t="n">
        <f aca="false">C7-B7</f>
        <v>0.0392281753465718</v>
      </c>
    </row>
    <row r="8" customFormat="false" ht="15" hidden="false" customHeight="false" outlineLevel="0" collapsed="false">
      <c r="A8" s="6" t="s">
        <v>18</v>
      </c>
      <c r="B8" s="9" t="n">
        <f aca="false">AVERAGEIFS(data!$E$2:$E$1401,data!$K$2:$K$1401,"West",data!$A$2:$A$1401,"Control")</f>
        <v>0.0337837837837838</v>
      </c>
      <c r="C8" s="9" t="n">
        <f aca="false">AVERAGEIFS(data!$E$2:$E$1401,data!$K$2:$K$1401,"West",data!$A$2:$A$1401,"Treatment")</f>
        <v>0.0508474576271187</v>
      </c>
      <c r="D8" s="9" t="n">
        <f aca="false">C8-B8</f>
        <v>0.0170636738433349</v>
      </c>
    </row>
    <row r="10" customFormat="false" ht="15" hidden="false" customHeight="false" outlineLevel="0" collapsed="false">
      <c r="A10" s="22" t="s">
        <v>76</v>
      </c>
    </row>
    <row r="11" customFormat="false" ht="15" hidden="false" customHeight="false" outlineLevel="0" collapsed="false">
      <c r="A11" s="5" t="s">
        <v>75</v>
      </c>
      <c r="B11" s="5" t="s">
        <v>14</v>
      </c>
      <c r="C11" s="5" t="s">
        <v>26</v>
      </c>
      <c r="D11" s="5" t="s">
        <v>30</v>
      </c>
    </row>
    <row r="12" customFormat="false" ht="15" hidden="false" customHeight="false" outlineLevel="0" collapsed="false">
      <c r="A12" s="6" t="s">
        <v>16</v>
      </c>
      <c r="B12" s="9" t="n">
        <f aca="false">AVERAGEIFS(data!$E$2:$E$1401,data!$L$2:$L$1401,"Desktop",data!$A$2:$A$1401,"Control")</f>
        <v>0.045</v>
      </c>
      <c r="C12" s="9" t="n">
        <f aca="false">AVERAGEIFS(data!$E$2:$E$1401,data!$L$2:$L$1401,"Desktop",data!$A$2:$A$1401,"Treatment")</f>
        <v>0.0657276995305164</v>
      </c>
      <c r="D12" s="9" t="n">
        <f aca="false">C12-B12</f>
        <v>0.0207276995305164</v>
      </c>
    </row>
    <row r="13" customFormat="false" ht="15" hidden="false" customHeight="false" outlineLevel="0" collapsed="false">
      <c r="A13" s="6" t="s">
        <v>19</v>
      </c>
      <c r="B13" s="9" t="n">
        <f aca="false">AVERAGEIFS(data!$E$2:$E$1401,data!$L$2:$L$1401,"Mobile",data!$A$2:$A$1401,"Control")</f>
        <v>0.0258215962441315</v>
      </c>
      <c r="C13" s="9" t="n">
        <f aca="false">AVERAGEIFS(data!$E$2:$E$1401,data!$L$2:$L$1401,"Mobile",data!$A$2:$A$1401,"Treatment")</f>
        <v>0.0740740740740741</v>
      </c>
      <c r="D13" s="9" t="n">
        <f aca="false">C13-B13</f>
        <v>0.0482524778299426</v>
      </c>
    </row>
    <row r="14" customFormat="false" ht="15" hidden="false" customHeight="false" outlineLevel="0" collapsed="false">
      <c r="A14" s="6" t="s">
        <v>24</v>
      </c>
      <c r="B14" s="9" t="n">
        <f aca="false">AVERAGEIFS(data!$E$2:$E$1401,data!$L$2:$L$1401,"Tablet",data!$A$2:$A$1401,"Control")</f>
        <v>0.0181818181818182</v>
      </c>
      <c r="C14" s="9" t="n">
        <f aca="false">AVERAGEIFS(data!$E$2:$E$1401,data!$L$2:$L$1401,"Tablet",data!$A$2:$A$1401,"Treatment")</f>
        <v>0.0714285714285714</v>
      </c>
      <c r="D14" s="9" t="n">
        <f aca="false">C14-B14</f>
        <v>0.0532467532467532</v>
      </c>
    </row>
    <row r="16" customFormat="false" ht="15" hidden="false" customHeight="false" outlineLevel="0" collapsed="false">
      <c r="A16" s="22" t="s">
        <v>77</v>
      </c>
    </row>
    <row r="17" customFormat="false" ht="15" hidden="false" customHeight="false" outlineLevel="0" collapsed="false">
      <c r="A17" s="5" t="s">
        <v>75</v>
      </c>
      <c r="B17" s="5" t="s">
        <v>14</v>
      </c>
      <c r="C17" s="5" t="s">
        <v>26</v>
      </c>
      <c r="D17" s="5" t="s">
        <v>30</v>
      </c>
    </row>
    <row r="18" customFormat="false" ht="15" hidden="false" customHeight="false" outlineLevel="0" collapsed="false">
      <c r="A18" s="6" t="s">
        <v>15</v>
      </c>
      <c r="B18" s="10" t="n">
        <f aca="false">AVERAGEIFS(data!$F$2:$F$1401,data!$K$2:$K$1401,"North",data!$A$2:$A$1401,"Control")</f>
        <v>84.5000995024876</v>
      </c>
      <c r="C18" s="10" t="n">
        <f aca="false">AVERAGEIFS(data!$F$2:$F$1401,data!$K$2:$K$1401,"North",data!$A$2:$A$1401,"Treatment")</f>
        <v>80.9675</v>
      </c>
      <c r="D18" s="10" t="n">
        <f aca="false">C18-B18</f>
        <v>-3.53259950248756</v>
      </c>
    </row>
    <row r="19" customFormat="false" ht="15" hidden="false" customHeight="false" outlineLevel="0" collapsed="false">
      <c r="A19" s="6" t="s">
        <v>23</v>
      </c>
      <c r="B19" s="10" t="n">
        <f aca="false">AVERAGEIFS(data!$F$2:$F$1401,data!$K$2:$K$1401,"South",data!$A$2:$A$1401,"Control")</f>
        <v>76.033097826087</v>
      </c>
      <c r="C19" s="10" t="n">
        <f aca="false">AVERAGEIFS(data!$F$2:$F$1401,data!$K$2:$K$1401,"South",data!$A$2:$A$1401,"Treatment")</f>
        <v>47.2585245901639</v>
      </c>
      <c r="D19" s="10" t="n">
        <f aca="false">C19-B19</f>
        <v>-28.774573235923</v>
      </c>
    </row>
    <row r="20" customFormat="false" ht="15" hidden="false" customHeight="false" outlineLevel="0" collapsed="false">
      <c r="A20" s="6" t="s">
        <v>21</v>
      </c>
      <c r="B20" s="10" t="n">
        <f aca="false">AVERAGEIFS(data!$F$2:$F$1401,data!$K$2:$K$1401,"East",data!$A$2:$A$1401,"Control")</f>
        <v>18.2314649681529</v>
      </c>
      <c r="C20" s="10" t="n">
        <f aca="false">AVERAGEIFS(data!$F$2:$F$1401,data!$K$2:$K$1401,"East",data!$A$2:$A$1401,"Treatment")</f>
        <v>47.0517647058824</v>
      </c>
      <c r="D20" s="10" t="n">
        <f aca="false">C20-B20</f>
        <v>28.8202997377295</v>
      </c>
    </row>
    <row r="21" customFormat="false" ht="15" hidden="false" customHeight="false" outlineLevel="0" collapsed="false">
      <c r="A21" s="6" t="s">
        <v>18</v>
      </c>
      <c r="B21" s="10" t="n">
        <f aca="false">AVERAGEIFS(data!$F$2:$F$1401,data!$K$2:$K$1401,"West",data!$A$2:$A$1401,"Control")</f>
        <v>13.6846621621622</v>
      </c>
      <c r="C21" s="10" t="n">
        <f aca="false">AVERAGEIFS(data!$F$2:$F$1401,data!$K$2:$K$1401,"West",data!$A$2:$A$1401,"Treatment")</f>
        <v>41.2398305084746</v>
      </c>
      <c r="D21" s="10" t="n">
        <f aca="false">C21-B21</f>
        <v>27.5551683463124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2026-06-27T11:10:39Z</dcterms:created>
  <dc:creator>Ishan Joshi</dc:creator>
  <dc:description/>
  <dc:language>en-US</dc:language>
  <cp:lastModifiedBy>Ishan Joshi</cp:lastModifiedBy>
  <dcterms:modified xsi:type="dcterms:W3CDTF">2026-06-27T11:10:40Z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